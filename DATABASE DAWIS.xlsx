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DAWIS\"/>
    </mc:Choice>
  </mc:AlternateContent>
  <xr:revisionPtr revIDLastSave="0" documentId="8_{89F91E04-28B8-4A79-A8A0-160276BA5B5E}" xr6:coauthVersionLast="47" xr6:coauthVersionMax="47" xr10:uidLastSave="{00000000-0000-0000-0000-000000000000}"/>
  <bookViews>
    <workbookView xWindow="-120" yWindow="-120" windowWidth="20730" windowHeight="11040" xr2:uid="{E70E03F7-E007-48CB-8B77-0B0B94CF544D}"/>
  </bookViews>
  <sheets>
    <sheet name="SUMMARY - IBU HAMIL,MENYUSUI" sheetId="5" r:id="rId1"/>
    <sheet name="SUMMARY-POTENSI" sheetId="4" r:id="rId2"/>
    <sheet name="SUMMARY-PROFIL" sheetId="3" r:id="rId3"/>
    <sheet name="SUMMARY-KUANTITAS" sheetId="2" r:id="rId4"/>
    <sheet name="SUMMARY-REKAPITULASI" sheetId="1" r:id="rId5"/>
  </sheets>
  <externalReferences>
    <externalReference r:id="rId6"/>
  </externalReferences>
  <definedNames>
    <definedName name="_xlnm.Print_Area" localSheetId="0">'SUMMARY - IBU HAMIL,MENYUSUI'!$A$1:$R$36</definedName>
    <definedName name="_xlnm.Print_Area" localSheetId="3">'SUMMARY-KUANTITAS'!$A$1:$AA$31</definedName>
    <definedName name="_xlnm.Print_Area" localSheetId="2">'SUMMARY-PROFIL'!$A$1:$P$30</definedName>
    <definedName name="_xlnm.Print_Titles" localSheetId="3">'SUMMARY-KUANTITAS'!$1:$13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5" l="1"/>
  <c r="AG30" i="4"/>
  <c r="Z30" i="4"/>
  <c r="W30" i="4"/>
  <c r="S30" i="4"/>
  <c r="R30" i="4"/>
  <c r="E30" i="4"/>
  <c r="D30" i="4"/>
  <c r="C30" i="4"/>
  <c r="AF16" i="4"/>
  <c r="AF30" i="4" s="1"/>
  <c r="AE16" i="4"/>
  <c r="AE30" i="4" s="1"/>
  <c r="AD16" i="4"/>
  <c r="AD30" i="4" s="1"/>
  <c r="AC16" i="4"/>
  <c r="AC30" i="4" s="1"/>
  <c r="Z16" i="4"/>
  <c r="Y16" i="4"/>
  <c r="Y30" i="4" s="1"/>
  <c r="V16" i="4"/>
  <c r="V30" i="4" s="1"/>
  <c r="U16" i="4"/>
  <c r="U30" i="4" s="1"/>
  <c r="T16" i="4"/>
  <c r="T30" i="4" s="1"/>
  <c r="S16" i="4"/>
  <c r="R16" i="4"/>
  <c r="Q16" i="4"/>
  <c r="Q30" i="4" s="1"/>
  <c r="P16" i="4"/>
  <c r="P30" i="4" s="1"/>
  <c r="O16" i="4"/>
  <c r="O30" i="4" s="1"/>
  <c r="M16" i="4"/>
  <c r="M30" i="4" s="1"/>
  <c r="L16" i="4"/>
  <c r="L30" i="4" s="1"/>
  <c r="I16" i="4"/>
  <c r="H16" i="4"/>
  <c r="H30" i="4" s="1"/>
  <c r="G16" i="4"/>
  <c r="F16" i="4"/>
  <c r="F30" i="4" s="1"/>
  <c r="A16" i="4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I15" i="4"/>
  <c r="I30" i="4" s="1"/>
  <c r="G15" i="4"/>
  <c r="G30" i="4" s="1"/>
  <c r="R8" i="4"/>
  <c r="N29" i="3"/>
  <c r="J29" i="3"/>
  <c r="G29" i="3"/>
  <c r="C29" i="3"/>
  <c r="J28" i="3"/>
  <c r="P22" i="3"/>
  <c r="P21" i="3"/>
  <c r="I21" i="3"/>
  <c r="I20" i="3"/>
  <c r="P17" i="3"/>
  <c r="I17" i="3"/>
  <c r="P16" i="3"/>
  <c r="I16" i="3"/>
  <c r="B11" i="3"/>
  <c r="Z26" i="2"/>
  <c r="T26" i="2"/>
  <c r="R26" i="2"/>
  <c r="D26" i="2"/>
  <c r="AA16" i="2"/>
  <c r="AA26" i="2" s="1"/>
  <c r="Z16" i="2"/>
  <c r="Y16" i="2"/>
  <c r="Y26" i="2" s="1"/>
  <c r="X16" i="2"/>
  <c r="X26" i="2" s="1"/>
  <c r="W16" i="2"/>
  <c r="W26" i="2" s="1"/>
  <c r="V16" i="2"/>
  <c r="V26" i="2" s="1"/>
  <c r="U16" i="2"/>
  <c r="U26" i="2" s="1"/>
  <c r="T16" i="2"/>
  <c r="S16" i="2"/>
  <c r="S26" i="2" s="1"/>
  <c r="R16" i="2"/>
  <c r="Q16" i="2"/>
  <c r="Q26" i="2" s="1"/>
  <c r="P16" i="2"/>
  <c r="P26" i="2" s="1"/>
  <c r="O16" i="2"/>
  <c r="O26" i="2" s="1"/>
  <c r="M16" i="2"/>
  <c r="M26" i="2" s="1"/>
  <c r="G16" i="2"/>
  <c r="F16" i="2"/>
  <c r="F26" i="2" s="1"/>
  <c r="E16" i="2"/>
  <c r="E26" i="2" s="1"/>
  <c r="D16" i="2"/>
  <c r="B16" i="2"/>
  <c r="B26" i="2" s="1"/>
  <c r="L14" i="2"/>
  <c r="G14" i="2"/>
  <c r="G26" i="2" s="1"/>
  <c r="F14" i="2"/>
  <c r="D14" i="2"/>
  <c r="U8" i="1"/>
  <c r="E14" i="1"/>
  <c r="G14" i="1"/>
  <c r="P14" i="1"/>
  <c r="P40" i="1" s="1"/>
  <c r="A16" i="1"/>
  <c r="A18" i="1"/>
  <c r="A19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L13" i="3" l="1"/>
  <c r="N16" i="2"/>
  <c r="N26" i="2" s="1"/>
  <c r="E13" i="3"/>
  <c r="E14" i="3"/>
  <c r="I14" i="3" s="1"/>
  <c r="L14" i="3"/>
  <c r="P14" i="3" s="1"/>
  <c r="E15" i="3"/>
  <c r="I15" i="3" s="1"/>
  <c r="L15" i="3"/>
  <c r="P15" i="3" s="1"/>
  <c r="E18" i="3"/>
  <c r="I18" i="3" s="1"/>
  <c r="L18" i="3"/>
  <c r="P18" i="3" s="1"/>
  <c r="E19" i="3"/>
  <c r="I19" i="3" s="1"/>
  <c r="L19" i="3"/>
  <c r="P19" i="3" s="1"/>
  <c r="L20" i="3"/>
  <c r="P20" i="3" s="1"/>
  <c r="E22" i="3"/>
  <c r="I22" i="3" s="1"/>
  <c r="E23" i="3"/>
  <c r="I23" i="3" s="1"/>
  <c r="L23" i="3"/>
  <c r="P23" i="3" s="1"/>
  <c r="E24" i="3"/>
  <c r="I24" i="3" s="1"/>
  <c r="L24" i="3"/>
  <c r="P24" i="3" s="1"/>
  <c r="E25" i="3"/>
  <c r="I25" i="3" s="1"/>
  <c r="L25" i="3"/>
  <c r="P25" i="3" s="1"/>
  <c r="E26" i="3"/>
  <c r="I26" i="3" s="1"/>
  <c r="L26" i="3"/>
  <c r="P26" i="3" s="1"/>
  <c r="E27" i="3"/>
  <c r="I27" i="3" s="1"/>
  <c r="L27" i="3"/>
  <c r="P27" i="3" s="1"/>
  <c r="E28" i="3"/>
  <c r="I28" i="3" s="1"/>
  <c r="L28" i="3"/>
  <c r="P28" i="3" s="1"/>
  <c r="K16" i="4" l="1"/>
  <c r="K30" i="4" s="1"/>
  <c r="AA16" i="4"/>
  <c r="AA30" i="4" s="1"/>
  <c r="X16" i="4"/>
  <c r="X30" i="4" s="1"/>
  <c r="AB16" i="4"/>
  <c r="AB30" i="4" s="1"/>
  <c r="N16" i="4"/>
  <c r="N30" i="4" s="1"/>
  <c r="J16" i="4"/>
  <c r="J30" i="4" s="1"/>
  <c r="I13" i="3"/>
  <c r="I29" i="3" s="1"/>
  <c r="E29" i="3"/>
  <c r="L29" i="3"/>
  <c r="P13" i="3"/>
  <c r="P29" i="3" s="1"/>
  <c r="L16" i="2"/>
  <c r="L26" i="2" s="1"/>
  <c r="K16" i="2"/>
  <c r="K26" i="2" s="1"/>
  <c r="J16" i="2"/>
  <c r="J26" i="2" s="1"/>
  <c r="I16" i="2"/>
  <c r="I26" i="2" s="1"/>
  <c r="H16" i="2"/>
  <c r="H26" i="2" s="1"/>
  <c r="P32" i="3" l="1"/>
</calcChain>
</file>

<file path=xl/sharedStrings.xml><?xml version="1.0" encoding="utf-8"?>
<sst xmlns="http://schemas.openxmlformats.org/spreadsheetml/2006/main" count="366" uniqueCount="195">
  <si>
    <t>JUMLAH</t>
  </si>
  <si>
    <t>008</t>
  </si>
  <si>
    <t>P</t>
  </si>
  <si>
    <t>L</t>
  </si>
  <si>
    <t>KERJA BAKTI</t>
  </si>
  <si>
    <t>INDUSTRI RUMAH TANGGA</t>
  </si>
  <si>
    <t>PEMANFAATAN TANAH PEKARANGAN</t>
  </si>
  <si>
    <t>UP2K</t>
  </si>
  <si>
    <t>NON BERAS</t>
  </si>
  <si>
    <t>BERAS</t>
  </si>
  <si>
    <t>DLL</t>
  </si>
  <si>
    <t>SUMUR</t>
  </si>
  <si>
    <t>PDAM</t>
  </si>
  <si>
    <t>MENEMPEL STIKER P4K</t>
  </si>
  <si>
    <t>MEMILIKI JAMBAN KELUARGA</t>
  </si>
  <si>
    <t>MEMILIKI SPAL</t>
  </si>
  <si>
    <t>MEMILIKI TMP. PEMB. SAMPAH</t>
  </si>
  <si>
    <t>TIDAK SEHAT LAYAK HUNI</t>
  </si>
  <si>
    <t>SEHAT LAYAK HUNI</t>
  </si>
  <si>
    <t>BERKE- BUTUHAN KHUSUS</t>
  </si>
  <si>
    <t>3 BUTA</t>
  </si>
  <si>
    <t>LANSIA</t>
  </si>
  <si>
    <t>PRA LANSIA</t>
  </si>
  <si>
    <t>IBU MENYUSUI</t>
  </si>
  <si>
    <t>IBU HAMIL</t>
  </si>
  <si>
    <t>WUS</t>
  </si>
  <si>
    <t>PUS</t>
  </si>
  <si>
    <t>REMAJA</t>
  </si>
  <si>
    <t>BALITA</t>
  </si>
  <si>
    <t>TOTAL</t>
  </si>
  <si>
    <t>KET</t>
  </si>
  <si>
    <t>WARGA MENGIKUTI KEGIATAN</t>
  </si>
  <si>
    <t>MAKANAN POKOK</t>
  </si>
  <si>
    <t>SUMBER AIR KELUARGA</t>
  </si>
  <si>
    <t>KRITERIA RUMAH</t>
  </si>
  <si>
    <t>JUMLAH ANGGOTA KELUARGA</t>
  </si>
  <si>
    <t>JML KK</t>
  </si>
  <si>
    <t>JUMLAH KRT</t>
  </si>
  <si>
    <t>JUMLAH DASA WISMA</t>
  </si>
  <si>
    <t>NOMOR RT</t>
  </si>
  <si>
    <t>NO</t>
  </si>
  <si>
    <t>TAHUN</t>
  </si>
  <si>
    <t>UTAN KAYU UTARA</t>
  </si>
  <si>
    <t>DESA / KELURAHAN</t>
  </si>
  <si>
    <t>KEC MATRAMAN</t>
  </si>
  <si>
    <t>DUSUN/LINGKUNGAN</t>
  </si>
  <si>
    <t>010</t>
  </si>
  <si>
    <t>RW</t>
  </si>
  <si>
    <t>KELOMPOK  PKK RW</t>
  </si>
  <si>
    <t>CATATAN DATA DAN KEGIATAN WARGA</t>
  </si>
  <si>
    <t>REKAPITULASI</t>
  </si>
  <si>
    <t>DATA KUANTITAS</t>
  </si>
  <si>
    <t>NAMA</t>
  </si>
  <si>
    <t>SRI WINARSIH, NURUL FAJARIAH, PUSPITASARI</t>
  </si>
  <si>
    <t xml:space="preserve">Kelompok  </t>
  </si>
  <si>
    <t>Buah Gowok 010.008.001,002,003</t>
  </si>
  <si>
    <t>RT / RW</t>
  </si>
  <si>
    <t>008/010</t>
  </si>
  <si>
    <t>Kelurahan</t>
  </si>
  <si>
    <t>Kecamatan</t>
  </si>
  <si>
    <t>MATRAMAN</t>
  </si>
  <si>
    <t>Kota</t>
  </si>
  <si>
    <t>JAKARTA TIMUR</t>
  </si>
  <si>
    <t>NAMA KRT</t>
  </si>
  <si>
    <t>NAMA KEPALA KELUARGA</t>
  </si>
  <si>
    <t>Jumlah dan Komposisi Penduduk</t>
  </si>
  <si>
    <t>Jumlah</t>
  </si>
  <si>
    <t>Jumlah Kesertaan Ber-KB</t>
  </si>
  <si>
    <t>Bukan Peserta KB</t>
  </si>
  <si>
    <t>LAKI-LAKI</t>
  </si>
  <si>
    <t>PEREMPUAN</t>
  </si>
  <si>
    <t>Balita</t>
  </si>
  <si>
    <t>Anak</t>
  </si>
  <si>
    <t>Remaja</t>
  </si>
  <si>
    <t>Dewasa</t>
  </si>
  <si>
    <t>Lansia</t>
  </si>
  <si>
    <t>Keluarga</t>
  </si>
  <si>
    <t xml:space="preserve">Pasangan </t>
  </si>
  <si>
    <t>MOW/Steril</t>
  </si>
  <si>
    <t>MOP/Steril</t>
  </si>
  <si>
    <t>IUD/Spiral</t>
  </si>
  <si>
    <t>Implant/</t>
  </si>
  <si>
    <t>Suntik</t>
  </si>
  <si>
    <t>Pil</t>
  </si>
  <si>
    <t>Kondom</t>
  </si>
  <si>
    <t>TIAL</t>
  </si>
  <si>
    <t>IAT</t>
  </si>
  <si>
    <t>IAS</t>
  </si>
  <si>
    <t>Hamil</t>
  </si>
  <si>
    <t>Jumlah Bukan</t>
  </si>
  <si>
    <t>(0-5 Thn)</t>
  </si>
  <si>
    <t>(6-9 Thn)</t>
  </si>
  <si>
    <t>(10-24 Thn)</t>
  </si>
  <si>
    <t>(25-59 Thn)</t>
  </si>
  <si>
    <t>(60 + Thn)</t>
  </si>
  <si>
    <t>Usia Subur (PUS)</t>
  </si>
  <si>
    <t>Wanita</t>
  </si>
  <si>
    <t>Pria</t>
  </si>
  <si>
    <t>AKDR</t>
  </si>
  <si>
    <t>Susuk</t>
  </si>
  <si>
    <t>Peserta KB</t>
  </si>
  <si>
    <t>KET:</t>
  </si>
  <si>
    <t>*TIAL = Tidak Ingin Anak Lagi</t>
  </si>
  <si>
    <t xml:space="preserve">*IAT = Ingin Anak Tunda </t>
  </si>
  <si>
    <t>* IAS = INGIN ANAK SEGERA</t>
  </si>
  <si>
    <t>PROFIL KEPENDUDUKAN</t>
  </si>
  <si>
    <t>Jumlah Penduduk Menurut Kelompok Umur dan Jenis Kelamin</t>
  </si>
  <si>
    <t>SRI WINARSIH, NURUL FAJARIAH, PUSPITA SARI</t>
  </si>
  <si>
    <t>008 / 010</t>
  </si>
  <si>
    <t>Utan Kayu Utara</t>
  </si>
  <si>
    <t>Matraman</t>
  </si>
  <si>
    <t>Jakarta Timur</t>
  </si>
  <si>
    <t>BULAN &amp; THN</t>
  </si>
  <si>
    <t>UMUR</t>
  </si>
  <si>
    <t>W</t>
  </si>
  <si>
    <t>0 - 4 Tahun</t>
  </si>
  <si>
    <t>+</t>
  </si>
  <si>
    <t>=</t>
  </si>
  <si>
    <t>5 - 9 Tahun</t>
  </si>
  <si>
    <t>10 - 14 Tahun</t>
  </si>
  <si>
    <t>15 - 19 Tahun</t>
  </si>
  <si>
    <t>20 - 24 Tahun</t>
  </si>
  <si>
    <t>25 - 29 Tahun</t>
  </si>
  <si>
    <t>30 - 34 Tahun</t>
  </si>
  <si>
    <t>35 - 39  Tahun</t>
  </si>
  <si>
    <t>40 - 44  Tahun</t>
  </si>
  <si>
    <t>45 - 49 Tahun</t>
  </si>
  <si>
    <t>50 - 54 Tahun</t>
  </si>
  <si>
    <t>55 - 59 Tahun</t>
  </si>
  <si>
    <t>60 - 64 Tahun</t>
  </si>
  <si>
    <t>65 - 69 Tahun</t>
  </si>
  <si>
    <t>70 - 74 Tahun</t>
  </si>
  <si>
    <t>75 Tahun</t>
  </si>
  <si>
    <t>DATA POTENSI WARGA</t>
  </si>
  <si>
    <t>KELOMPOK PKK RW</t>
  </si>
  <si>
    <t xml:space="preserve"> </t>
  </si>
  <si>
    <t>DUSUN / LINGKUNGAN</t>
  </si>
  <si>
    <t>PERIODE</t>
  </si>
  <si>
    <t>JUMLAH DASAWISMA</t>
  </si>
  <si>
    <t>JUMLAH BANGUNAN</t>
  </si>
  <si>
    <t>JUMLAH KELOMPOK</t>
  </si>
  <si>
    <t>JML KRT</t>
  </si>
  <si>
    <t>PENGGUNAAN ALAT KB</t>
  </si>
  <si>
    <t>REMAJA (10-18) TH</t>
  </si>
  <si>
    <t>BERKEBUTUHAN KHUSUS</t>
  </si>
  <si>
    <t>AKTIF POSYANDU</t>
  </si>
  <si>
    <t>AKTIF POSREM</t>
  </si>
  <si>
    <t>AKTIF POSLAN</t>
  </si>
  <si>
    <t>TIDAK KB</t>
  </si>
  <si>
    <t>PIL</t>
  </si>
  <si>
    <t>IUD</t>
  </si>
  <si>
    <t>IMPLAN</t>
  </si>
  <si>
    <t>SUNTIK</t>
  </si>
  <si>
    <t>KONDOM</t>
  </si>
  <si>
    <t>STERIL</t>
  </si>
  <si>
    <t>LAINNYA</t>
  </si>
  <si>
    <t>001</t>
  </si>
  <si>
    <t>002</t>
  </si>
  <si>
    <t>003</t>
  </si>
  <si>
    <t>REKAPITULASI DATA</t>
  </si>
  <si>
    <t>IBU HAMIL, MELAHIRKAN, NIFAS, IBU MENINGGAL , KELAHIRAN BAYI, BAYI MENINGGAL , DAN KEMATIAN BALITA</t>
  </si>
  <si>
    <t xml:space="preserve">KELOMPOK DASAWISMA            </t>
  </si>
  <si>
    <t xml:space="preserve">KELOMPOK PKK RT </t>
  </si>
  <si>
    <t xml:space="preserve">KELOMPOK PKK RW  </t>
  </si>
  <si>
    <t>KELURAHAN / DESA</t>
  </si>
  <si>
    <t xml:space="preserve">BULAN </t>
  </si>
  <si>
    <t xml:space="preserve">NAMA IBU </t>
  </si>
  <si>
    <t>NAMA SUAMI</t>
  </si>
  <si>
    <t xml:space="preserve">STATUS ( HAMIL / MELAHIRKAN /NIFAS </t>
  </si>
  <si>
    <t>CATATAN KELAHIRAN</t>
  </si>
  <si>
    <t>CATATAN KEMATIAN</t>
  </si>
  <si>
    <t>KETERANGAN</t>
  </si>
  <si>
    <t>NAMA BAYI</t>
  </si>
  <si>
    <t>JENIS KELAMIN</t>
  </si>
  <si>
    <t>TGL LAHIR</t>
  </si>
  <si>
    <t>AKTE KELAHIRAN</t>
  </si>
  <si>
    <t>NAMA IBU/             BALITA / BAYI</t>
  </si>
  <si>
    <t>STATUS (IBU/           BAYI/BALITA)</t>
  </si>
  <si>
    <t>TGL MENINGGAL</t>
  </si>
  <si>
    <t>SEBAB MENINGGAL</t>
  </si>
  <si>
    <t>ADA</t>
  </si>
  <si>
    <t>TIDAK</t>
  </si>
  <si>
    <t>MIFTAHUL JANNAH</t>
  </si>
  <si>
    <t>FAJAR RAMADAN</t>
  </si>
  <si>
    <t>HAMIL 6 BULAN</t>
  </si>
  <si>
    <t xml:space="preserve">JUMLAH </t>
  </si>
  <si>
    <t>Catatan :</t>
  </si>
  <si>
    <t>1. Jumlah Ibu Hamil</t>
  </si>
  <si>
    <t>2. Jumlah Ibu Melahirkan</t>
  </si>
  <si>
    <t>3. Jumlah Ibu Nifas</t>
  </si>
  <si>
    <t>4. Jumlah Ibu Meninggal</t>
  </si>
  <si>
    <t>5. Jumlah Bayi lahir</t>
  </si>
  <si>
    <t>6. Jumlah Bayi Meninggal</t>
  </si>
  <si>
    <t>7. Jumlah Balita Meninggal</t>
  </si>
  <si>
    <t>*Ibu meninggal karena hamil/melahirkan/nifas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</si>
</sst>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yyyy"/>
    <numFmt numFmtId="165" formatCode="@\ * \:"/>
    <numFmt numFmtId="166" formatCode="mmmm"/>
    <numFmt numFmtId="167" formatCode="General\ \ \ \ \ \ \ \ \ &quot;orang&quot;"/>
  </numFmts>
  <fonts count="41" x14ac:knownFonts="1">
    <font>
      <sz val="12"/>
      <color theme="1"/>
      <name val="Segoe UI"/>
      <family val="2"/>
      <charset val="1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8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16"/>
      <color rgb="FF000000"/>
      <name val="Calibri"/>
      <family val="2"/>
    </font>
    <font>
      <sz val="18"/>
      <color theme="1"/>
      <name val="Calibri"/>
      <family val="2"/>
    </font>
    <font>
      <sz val="16"/>
      <color theme="1"/>
      <name val="Calibri"/>
      <family val="2"/>
    </font>
    <font>
      <sz val="18"/>
      <color rgb="FF000000"/>
      <name val="Calibri"/>
      <family val="2"/>
    </font>
    <font>
      <sz val="11"/>
      <color theme="1"/>
      <name val="Calibri"/>
      <scheme val="minor"/>
    </font>
    <font>
      <sz val="12"/>
      <color theme="1"/>
      <name val="Calibri"/>
      <family val="2"/>
      <charset val="1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theme="1"/>
      <name val="Calibri"/>
      <family val="2"/>
      <charset val="1"/>
      <scheme val="minor"/>
    </font>
    <font>
      <sz val="14"/>
      <name val="Calibri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4" fillId="0" borderId="0">
      <alignment vertical="center"/>
    </xf>
    <xf numFmtId="0" fontId="10" fillId="0" borderId="0"/>
    <xf numFmtId="0" fontId="1" fillId="0" borderId="0"/>
    <xf numFmtId="0" fontId="19" fillId="0" borderId="0"/>
    <xf numFmtId="0" fontId="4" fillId="0" borderId="0">
      <alignment vertical="center"/>
    </xf>
    <xf numFmtId="0" fontId="1" fillId="0" borderId="0"/>
  </cellStyleXfs>
  <cellXfs count="239">
    <xf numFmtId="0" fontId="0" fillId="0" borderId="0" xfId="0"/>
    <xf numFmtId="0" fontId="1" fillId="0" borderId="0" xfId="1"/>
    <xf numFmtId="1" fontId="2" fillId="0" borderId="1" xfId="1" applyNumberFormat="1" applyFont="1" applyBorder="1" applyAlignment="1">
      <alignment horizontal="center" vertical="center"/>
    </xf>
    <xf numFmtId="1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" fontId="2" fillId="0" borderId="4" xfId="1" applyNumberFormat="1" applyFont="1" applyBorder="1" applyAlignment="1">
      <alignment horizontal="center" vertical="center"/>
    </xf>
    <xf numFmtId="1" fontId="2" fillId="0" borderId="5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5" xfId="1" quotePrefix="1" applyFont="1" applyBorder="1" applyAlignment="1">
      <alignment horizontal="center" vertical="center"/>
    </xf>
    <xf numFmtId="0" fontId="1" fillId="0" borderId="7" xfId="1" applyBorder="1"/>
    <xf numFmtId="0" fontId="1" fillId="0" borderId="8" xfId="1" applyBorder="1"/>
    <xf numFmtId="0" fontId="4" fillId="0" borderId="9" xfId="1" applyFont="1" applyBorder="1"/>
    <xf numFmtId="0" fontId="4" fillId="0" borderId="10" xfId="1" applyFont="1" applyBorder="1"/>
    <xf numFmtId="0" fontId="3" fillId="0" borderId="5" xfId="1" applyFont="1" applyBorder="1" applyAlignment="1">
      <alignment horizontal="center" vertical="center"/>
    </xf>
    <xf numFmtId="0" fontId="4" fillId="0" borderId="11" xfId="1" applyFont="1" applyBorder="1"/>
    <xf numFmtId="0" fontId="4" fillId="0" borderId="12" xfId="1" applyFont="1" applyBorder="1"/>
    <xf numFmtId="0" fontId="4" fillId="0" borderId="13" xfId="1" applyFont="1" applyBorder="1"/>
    <xf numFmtId="0" fontId="4" fillId="0" borderId="14" xfId="1" applyFont="1" applyBorder="1"/>
    <xf numFmtId="0" fontId="4" fillId="0" borderId="15" xfId="1" applyFont="1" applyBorder="1"/>
    <xf numFmtId="0" fontId="4" fillId="0" borderId="16" xfId="1" applyFont="1" applyBorder="1"/>
    <xf numFmtId="0" fontId="3" fillId="0" borderId="17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/>
    </xf>
    <xf numFmtId="0" fontId="4" fillId="0" borderId="18" xfId="1" applyFont="1" applyBorder="1"/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4" fillId="0" borderId="21" xfId="1" applyFont="1" applyBorder="1"/>
    <xf numFmtId="0" fontId="4" fillId="0" borderId="22" xfId="1" applyFont="1" applyBorder="1"/>
    <xf numFmtId="0" fontId="3" fillId="0" borderId="23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164" fontId="5" fillId="0" borderId="26" xfId="1" quotePrefix="1" applyNumberFormat="1" applyFont="1" applyBorder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quotePrefix="1" applyFont="1" applyAlignment="1">
      <alignment horizontal="left" vertical="center"/>
    </xf>
    <xf numFmtId="0" fontId="5" fillId="0" borderId="26" xfId="1" applyFont="1" applyBorder="1" applyAlignment="1">
      <alignment horizontal="center" vertical="center"/>
    </xf>
    <xf numFmtId="0" fontId="5" fillId="0" borderId="26" xfId="1" quotePrefix="1" applyFont="1" applyBorder="1" applyAlignment="1">
      <alignment horizontal="left" vertical="center"/>
    </xf>
    <xf numFmtId="0" fontId="5" fillId="0" borderId="27" xfId="1" applyFont="1" applyBorder="1" applyAlignment="1">
      <alignment horizontal="center" vertical="center"/>
    </xf>
    <xf numFmtId="0" fontId="1" fillId="0" borderId="0" xfId="1"/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2" applyFont="1" applyAlignment="1"/>
    <xf numFmtId="0" fontId="4" fillId="0" borderId="0" xfId="2">
      <alignment vertical="center"/>
    </xf>
    <xf numFmtId="165" fontId="11" fillId="0" borderId="0" xfId="3" applyNumberFormat="1" applyFont="1" applyAlignment="1">
      <alignment vertical="center"/>
    </xf>
    <xf numFmtId="0" fontId="12" fillId="0" borderId="28" xfId="3" applyFont="1" applyBorder="1"/>
    <xf numFmtId="0" fontId="4" fillId="0" borderId="28" xfId="2" applyBorder="1">
      <alignment vertical="center"/>
    </xf>
    <xf numFmtId="0" fontId="12" fillId="0" borderId="29" xfId="3" applyFont="1" applyBorder="1"/>
    <xf numFmtId="0" fontId="4" fillId="0" borderId="29" xfId="2" applyBorder="1">
      <alignment vertical="center"/>
    </xf>
    <xf numFmtId="0" fontId="12" fillId="0" borderId="28" xfId="3" quotePrefix="1" applyFont="1" applyBorder="1"/>
    <xf numFmtId="0" fontId="13" fillId="2" borderId="30" xfId="2" applyFont="1" applyFill="1" applyBorder="1" applyAlignment="1">
      <alignment horizontal="center" vertical="center"/>
    </xf>
    <xf numFmtId="0" fontId="13" fillId="2" borderId="31" xfId="2" applyFont="1" applyFill="1" applyBorder="1" applyAlignment="1">
      <alignment horizontal="center" vertical="center"/>
    </xf>
    <xf numFmtId="0" fontId="13" fillId="2" borderId="32" xfId="2" applyFont="1" applyFill="1" applyBorder="1" applyAlignment="1">
      <alignment horizontal="center" vertical="center"/>
    </xf>
    <xf numFmtId="0" fontId="13" fillId="2" borderId="33" xfId="2" applyFont="1" applyFill="1" applyBorder="1" applyAlignment="1">
      <alignment horizontal="center" vertical="center"/>
    </xf>
    <xf numFmtId="0" fontId="14" fillId="2" borderId="30" xfId="2" applyFont="1" applyFill="1" applyBorder="1" applyAlignment="1">
      <alignment horizontal="center"/>
    </xf>
    <xf numFmtId="0" fontId="13" fillId="2" borderId="34" xfId="2" applyFont="1" applyFill="1" applyBorder="1" applyAlignment="1">
      <alignment horizontal="center" vertical="center"/>
    </xf>
    <xf numFmtId="0" fontId="13" fillId="2" borderId="29" xfId="2" applyFont="1" applyFill="1" applyBorder="1" applyAlignment="1">
      <alignment horizontal="center" vertical="center"/>
    </xf>
    <xf numFmtId="0" fontId="13" fillId="2" borderId="35" xfId="2" applyFont="1" applyFill="1" applyBorder="1" applyAlignment="1">
      <alignment horizontal="center" vertical="center"/>
    </xf>
    <xf numFmtId="0" fontId="13" fillId="2" borderId="36" xfId="2" applyFont="1" applyFill="1" applyBorder="1" applyAlignment="1">
      <alignment horizontal="center" vertical="center"/>
    </xf>
    <xf numFmtId="0" fontId="13" fillId="2" borderId="0" xfId="2" applyFont="1" applyFill="1" applyAlignment="1">
      <alignment horizontal="center" vertical="center"/>
    </xf>
    <xf numFmtId="0" fontId="13" fillId="2" borderId="37" xfId="2" applyFont="1" applyFill="1" applyBorder="1" applyAlignment="1">
      <alignment horizontal="center" vertical="center"/>
    </xf>
    <xf numFmtId="0" fontId="14" fillId="2" borderId="30" xfId="2" applyFont="1" applyFill="1" applyBorder="1" applyAlignment="1">
      <alignment horizontal="center" vertical="center"/>
    </xf>
    <xf numFmtId="0" fontId="14" fillId="2" borderId="36" xfId="2" applyFont="1" applyFill="1" applyBorder="1" applyAlignment="1">
      <alignment horizontal="center" vertical="top"/>
    </xf>
    <xf numFmtId="0" fontId="14" fillId="2" borderId="36" xfId="2" applyFont="1" applyFill="1" applyBorder="1" applyAlignment="1">
      <alignment horizontal="center" vertical="center"/>
    </xf>
    <xf numFmtId="0" fontId="13" fillId="2" borderId="38" xfId="2" applyFont="1" applyFill="1" applyBorder="1" applyAlignment="1">
      <alignment horizontal="center" vertical="center"/>
    </xf>
    <xf numFmtId="0" fontId="13" fillId="2" borderId="28" xfId="2" applyFont="1" applyFill="1" applyBorder="1" applyAlignment="1">
      <alignment horizontal="center" vertical="center"/>
    </xf>
    <xf numFmtId="0" fontId="13" fillId="2" borderId="39" xfId="2" applyFont="1" applyFill="1" applyBorder="1" applyAlignment="1">
      <alignment horizontal="center" vertical="center"/>
    </xf>
    <xf numFmtId="0" fontId="14" fillId="2" borderId="36" xfId="2" applyFont="1" applyFill="1" applyBorder="1" applyAlignment="1">
      <alignment horizontal="center" vertical="center"/>
    </xf>
    <xf numFmtId="0" fontId="14" fillId="2" borderId="36" xfId="2" applyFont="1" applyFill="1" applyBorder="1" applyAlignment="1">
      <alignment horizontal="center" vertical="top"/>
    </xf>
    <xf numFmtId="0" fontId="14" fillId="2" borderId="38" xfId="2" applyFont="1" applyFill="1" applyBorder="1" applyAlignment="1">
      <alignment horizontal="center" vertical="top"/>
    </xf>
    <xf numFmtId="0" fontId="14" fillId="2" borderId="38" xfId="2" applyFont="1" applyFill="1" applyBorder="1" applyAlignment="1">
      <alignment horizontal="center" vertical="top"/>
    </xf>
    <xf numFmtId="0" fontId="14" fillId="2" borderId="38" xfId="2" applyFont="1" applyFill="1" applyBorder="1" applyAlignment="1">
      <alignment horizontal="center" vertical="center"/>
    </xf>
    <xf numFmtId="0" fontId="13" fillId="3" borderId="33" xfId="2" applyFont="1" applyFill="1" applyBorder="1" applyAlignment="1">
      <alignment horizontal="center" vertical="center"/>
    </xf>
    <xf numFmtId="0" fontId="13" fillId="3" borderId="34" xfId="2" applyFont="1" applyFill="1" applyBorder="1" applyAlignment="1">
      <alignment horizontal="center" vertical="center"/>
    </xf>
    <xf numFmtId="0" fontId="13" fillId="3" borderId="35" xfId="2" applyFont="1" applyFill="1" applyBorder="1" applyAlignment="1">
      <alignment horizontal="center" vertical="center"/>
    </xf>
    <xf numFmtId="0" fontId="13" fillId="3" borderId="29" xfId="2" applyFont="1" applyFill="1" applyBorder="1" applyAlignment="1">
      <alignment horizontal="center" vertical="center"/>
    </xf>
    <xf numFmtId="0" fontId="13" fillId="0" borderId="0" xfId="2" applyFont="1">
      <alignment vertical="center"/>
    </xf>
    <xf numFmtId="0" fontId="15" fillId="0" borderId="40" xfId="2" applyFont="1" applyBorder="1" applyAlignment="1">
      <alignment horizontal="center" vertical="center"/>
    </xf>
    <xf numFmtId="0" fontId="16" fillId="0" borderId="40" xfId="4" applyFont="1" applyBorder="1" applyAlignment="1">
      <alignment horizontal="center" vertical="center"/>
    </xf>
    <xf numFmtId="0" fontId="16" fillId="0" borderId="41" xfId="4" applyFont="1" applyBorder="1" applyAlignment="1">
      <alignment horizontal="center" vertical="center"/>
    </xf>
    <xf numFmtId="0" fontId="17" fillId="0" borderId="38" xfId="4" applyFont="1" applyBorder="1" applyAlignment="1">
      <alignment horizontal="center" vertical="center" wrapText="1"/>
    </xf>
    <xf numFmtId="0" fontId="18" fillId="0" borderId="35" xfId="2" applyFont="1" applyBorder="1" applyAlignment="1">
      <alignment horizontal="center" vertical="center"/>
    </xf>
    <xf numFmtId="0" fontId="18" fillId="4" borderId="35" xfId="2" applyFont="1" applyFill="1" applyBorder="1" applyAlignment="1">
      <alignment horizontal="center" vertical="center"/>
    </xf>
    <xf numFmtId="0" fontId="18" fillId="0" borderId="33" xfId="2" applyFont="1" applyBorder="1" applyAlignment="1">
      <alignment horizontal="center" vertical="center"/>
    </xf>
    <xf numFmtId="0" fontId="6" fillId="0" borderId="34" xfId="4" applyFont="1" applyBorder="1" applyAlignment="1">
      <alignment horizontal="left" vertical="center" wrapText="1"/>
    </xf>
    <xf numFmtId="0" fontId="6" fillId="0" borderId="42" xfId="4" applyFont="1" applyBorder="1" applyAlignment="1">
      <alignment horizontal="left" vertical="center" wrapText="1"/>
    </xf>
    <xf numFmtId="0" fontId="6" fillId="0" borderId="33" xfId="4" applyFont="1" applyBorder="1" applyAlignment="1">
      <alignment horizontal="left" vertical="center" wrapText="1"/>
    </xf>
    <xf numFmtId="0" fontId="15" fillId="0" borderId="33" xfId="2" applyFont="1" applyBorder="1" applyAlignment="1">
      <alignment horizontal="center" vertical="center"/>
    </xf>
    <xf numFmtId="0" fontId="18" fillId="0" borderId="29" xfId="2" applyFont="1" applyBorder="1" applyAlignment="1">
      <alignment horizontal="center" vertical="center"/>
    </xf>
    <xf numFmtId="0" fontId="18" fillId="0" borderId="35" xfId="2" applyFont="1" applyBorder="1" applyAlignment="1">
      <alignment horizontal="center" vertical="center"/>
    </xf>
    <xf numFmtId="0" fontId="6" fillId="0" borderId="34" xfId="4" applyFont="1" applyBorder="1" applyAlignment="1">
      <alignment wrapText="1"/>
    </xf>
    <xf numFmtId="0" fontId="6" fillId="0" borderId="42" xfId="4" applyFont="1" applyBorder="1" applyAlignment="1">
      <alignment wrapText="1"/>
    </xf>
    <xf numFmtId="0" fontId="6" fillId="0" borderId="33" xfId="4" applyFont="1" applyBorder="1" applyAlignment="1">
      <alignment wrapText="1"/>
    </xf>
    <xf numFmtId="0" fontId="1" fillId="0" borderId="34" xfId="4" applyBorder="1" applyAlignment="1">
      <alignment horizontal="left" vertical="center" wrapText="1"/>
    </xf>
    <xf numFmtId="0" fontId="1" fillId="0" borderId="42" xfId="4" applyBorder="1" applyAlignment="1">
      <alignment horizontal="left" vertical="center" wrapText="1"/>
    </xf>
    <xf numFmtId="0" fontId="1" fillId="0" borderId="33" xfId="4" applyBorder="1" applyAlignment="1">
      <alignment horizontal="left" vertical="center" wrapText="1"/>
    </xf>
    <xf numFmtId="0" fontId="13" fillId="0" borderId="40" xfId="2" applyFont="1" applyBorder="1" applyAlignment="1">
      <alignment horizontal="center" vertical="center"/>
    </xf>
    <xf numFmtId="0" fontId="6" fillId="4" borderId="34" xfId="4" applyFont="1" applyFill="1" applyBorder="1"/>
    <xf numFmtId="0" fontId="6" fillId="4" borderId="42" xfId="4" applyFont="1" applyFill="1" applyBorder="1"/>
    <xf numFmtId="0" fontId="6" fillId="4" borderId="33" xfId="4" applyFont="1" applyFill="1" applyBorder="1"/>
    <xf numFmtId="0" fontId="6" fillId="0" borderId="34" xfId="4" applyFont="1" applyBorder="1"/>
    <xf numFmtId="0" fontId="6" fillId="0" borderId="35" xfId="4" applyFont="1" applyBorder="1"/>
    <xf numFmtId="0" fontId="6" fillId="0" borderId="33" xfId="4" applyFont="1" applyBorder="1"/>
    <xf numFmtId="0" fontId="6" fillId="0" borderId="42" xfId="4" applyFont="1" applyBorder="1"/>
    <xf numFmtId="0" fontId="20" fillId="0" borderId="34" xfId="5" applyFont="1" applyBorder="1" applyAlignment="1">
      <alignment horizontal="left" vertical="center"/>
    </xf>
    <xf numFmtId="0" fontId="20" fillId="0" borderId="35" xfId="5" applyFont="1" applyBorder="1" applyAlignment="1">
      <alignment horizontal="left" vertical="center"/>
    </xf>
    <xf numFmtId="0" fontId="11" fillId="0" borderId="33" xfId="5" applyFont="1" applyBorder="1" applyAlignment="1">
      <alignment vertical="center"/>
    </xf>
    <xf numFmtId="0" fontId="21" fillId="2" borderId="34" xfId="2" applyFont="1" applyFill="1" applyBorder="1" applyAlignment="1">
      <alignment horizontal="center" vertical="center"/>
    </xf>
    <xf numFmtId="0" fontId="18" fillId="2" borderId="34" xfId="2" applyFont="1" applyFill="1" applyBorder="1" applyAlignment="1">
      <alignment horizontal="center" vertical="center"/>
    </xf>
    <xf numFmtId="0" fontId="18" fillId="2" borderId="35" xfId="2" applyFont="1" applyFill="1" applyBorder="1" applyAlignment="1">
      <alignment horizontal="center" vertical="center"/>
    </xf>
    <xf numFmtId="0" fontId="18" fillId="2" borderId="34" xfId="2" applyFont="1" applyFill="1" applyBorder="1" applyAlignment="1">
      <alignment horizontal="center" vertical="center"/>
    </xf>
    <xf numFmtId="0" fontId="22" fillId="0" borderId="0" xfId="6" applyFont="1" applyAlignment="1"/>
    <xf numFmtId="0" fontId="15" fillId="0" borderId="0" xfId="6" applyFont="1" applyAlignment="1"/>
    <xf numFmtId="0" fontId="15" fillId="0" borderId="0" xfId="6" applyFont="1" applyAlignment="1">
      <alignment horizontal="right"/>
    </xf>
    <xf numFmtId="0" fontId="4" fillId="0" borderId="0" xfId="6">
      <alignment vertical="center"/>
    </xf>
    <xf numFmtId="0" fontId="12" fillId="0" borderId="0" xfId="6" applyFont="1" applyAlignment="1"/>
    <xf numFmtId="165" fontId="11" fillId="0" borderId="0" xfId="6" applyNumberFormat="1" applyFont="1">
      <alignment vertical="center"/>
    </xf>
    <xf numFmtId="0" fontId="12" fillId="0" borderId="0" xfId="3" applyFont="1"/>
    <xf numFmtId="165" fontId="23" fillId="0" borderId="0" xfId="6" applyNumberFormat="1" applyFont="1">
      <alignment vertical="center"/>
    </xf>
    <xf numFmtId="165" fontId="23" fillId="0" borderId="0" xfId="6" applyNumberFormat="1" applyFont="1" applyAlignment="1">
      <alignment horizontal="right" vertical="center"/>
    </xf>
    <xf numFmtId="0" fontId="4" fillId="0" borderId="0" xfId="6" applyAlignment="1">
      <alignment horizontal="right" vertical="center"/>
    </xf>
    <xf numFmtId="165" fontId="1" fillId="0" borderId="0" xfId="6" applyNumberFormat="1" applyFont="1">
      <alignment vertical="center"/>
    </xf>
    <xf numFmtId="164" fontId="24" fillId="0" borderId="43" xfId="6" applyNumberFormat="1" applyFont="1" applyBorder="1" applyAlignment="1">
      <alignment horizontal="left" vertical="center"/>
    </xf>
    <xf numFmtId="0" fontId="25" fillId="2" borderId="44" xfId="6" applyFont="1" applyFill="1" applyBorder="1" applyAlignment="1">
      <alignment horizontal="center" vertical="center"/>
    </xf>
    <xf numFmtId="0" fontId="25" fillId="2" borderId="45" xfId="6" applyFont="1" applyFill="1" applyBorder="1" applyAlignment="1">
      <alignment horizontal="center" vertical="center"/>
    </xf>
    <xf numFmtId="0" fontId="25" fillId="2" borderId="46" xfId="6" applyFont="1" applyFill="1" applyBorder="1" applyAlignment="1">
      <alignment horizontal="center" vertical="center"/>
    </xf>
    <xf numFmtId="0" fontId="25" fillId="2" borderId="47" xfId="6" applyFont="1" applyFill="1" applyBorder="1" applyAlignment="1">
      <alignment horizontal="center" vertical="center"/>
    </xf>
    <xf numFmtId="0" fontId="25" fillId="2" borderId="48" xfId="6" applyFont="1" applyFill="1" applyBorder="1" applyAlignment="1">
      <alignment horizontal="center" vertical="center"/>
    </xf>
    <xf numFmtId="0" fontId="26" fillId="2" borderId="46" xfId="6" applyFont="1" applyFill="1" applyBorder="1" applyAlignment="1">
      <alignment horizontal="center" vertical="center"/>
    </xf>
    <xf numFmtId="0" fontId="26" fillId="2" borderId="49" xfId="6" applyFont="1" applyFill="1" applyBorder="1" applyAlignment="1">
      <alignment horizontal="center" vertical="center"/>
    </xf>
    <xf numFmtId="0" fontId="26" fillId="2" borderId="50" xfId="6" applyFont="1" applyFill="1" applyBorder="1" applyAlignment="1">
      <alignment horizontal="center" vertical="center"/>
    </xf>
    <xf numFmtId="0" fontId="25" fillId="2" borderId="35" xfId="6" applyFont="1" applyFill="1" applyBorder="1" applyAlignment="1">
      <alignment horizontal="center" vertical="center"/>
    </xf>
    <xf numFmtId="0" fontId="27" fillId="2" borderId="33" xfId="6" applyFont="1" applyFill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34" xfId="6" applyFont="1" applyBorder="1" applyAlignment="1">
      <alignment horizontal="center" vertical="center"/>
    </xf>
    <xf numFmtId="0" fontId="15" fillId="0" borderId="34" xfId="6" applyFont="1" applyBorder="1" applyAlignment="1">
      <alignment horizontal="center" vertical="center"/>
    </xf>
    <xf numFmtId="0" fontId="15" fillId="0" borderId="29" xfId="6" quotePrefix="1" applyFont="1" applyBorder="1" applyAlignment="1">
      <alignment horizontal="center" vertical="center"/>
    </xf>
    <xf numFmtId="0" fontId="15" fillId="0" borderId="29" xfId="2" applyFont="1" applyBorder="1" applyAlignment="1">
      <alignment horizontal="center" vertical="center"/>
    </xf>
    <xf numFmtId="0" fontId="15" fillId="0" borderId="29" xfId="2" quotePrefix="1" applyFont="1" applyBorder="1" applyAlignment="1">
      <alignment horizontal="center" vertical="center"/>
    </xf>
    <xf numFmtId="0" fontId="15" fillId="0" borderId="35" xfId="2" applyFont="1" applyBorder="1" applyAlignment="1">
      <alignment horizontal="right" vertical="center" indent="1"/>
    </xf>
    <xf numFmtId="0" fontId="15" fillId="0" borderId="52" xfId="2" applyFont="1" applyBorder="1" applyAlignment="1">
      <alignment horizontal="right" vertical="center" indent="1"/>
    </xf>
    <xf numFmtId="0" fontId="12" fillId="0" borderId="53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54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5" fillId="0" borderId="56" xfId="6" applyFont="1" applyBorder="1" applyAlignment="1">
      <alignment horizontal="center" vertical="center"/>
    </xf>
    <xf numFmtId="0" fontId="15" fillId="0" borderId="0" xfId="6" quotePrefix="1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5" fillId="0" borderId="0" xfId="2" quotePrefix="1" applyFont="1" applyAlignment="1">
      <alignment horizontal="center" vertical="center"/>
    </xf>
    <xf numFmtId="0" fontId="15" fillId="0" borderId="37" xfId="2" applyFont="1" applyBorder="1" applyAlignment="1">
      <alignment horizontal="right" vertical="center" indent="1"/>
    </xf>
    <xf numFmtId="0" fontId="15" fillId="0" borderId="55" xfId="6" applyFont="1" applyBorder="1" applyAlignment="1">
      <alignment horizontal="center" vertical="center"/>
    </xf>
    <xf numFmtId="0" fontId="15" fillId="0" borderId="31" xfId="6" quotePrefix="1" applyFont="1" applyBorder="1" applyAlignment="1">
      <alignment horizontal="center" vertical="center"/>
    </xf>
    <xf numFmtId="0" fontId="15" fillId="0" borderId="31" xfId="2" applyFont="1" applyBorder="1" applyAlignment="1">
      <alignment horizontal="center" vertical="center"/>
    </xf>
    <xf numFmtId="0" fontId="15" fillId="0" borderId="31" xfId="2" quotePrefix="1" applyFont="1" applyBorder="1" applyAlignment="1">
      <alignment horizontal="center" vertical="center"/>
    </xf>
    <xf numFmtId="0" fontId="15" fillId="0" borderId="57" xfId="2" applyFont="1" applyBorder="1" applyAlignment="1">
      <alignment horizontal="right" vertical="center" indent="1"/>
    </xf>
    <xf numFmtId="0" fontId="25" fillId="2" borderId="58" xfId="6" applyFont="1" applyFill="1" applyBorder="1" applyAlignment="1">
      <alignment horizontal="center" vertical="center"/>
    </xf>
    <xf numFmtId="0" fontId="25" fillId="2" borderId="59" xfId="6" applyFont="1" applyFill="1" applyBorder="1" applyAlignment="1">
      <alignment horizontal="center" vertical="center"/>
    </xf>
    <xf numFmtId="0" fontId="18" fillId="2" borderId="60" xfId="6" applyFont="1" applyFill="1" applyBorder="1">
      <alignment vertical="center"/>
    </xf>
    <xf numFmtId="0" fontId="18" fillId="2" borderId="61" xfId="6" applyFont="1" applyFill="1" applyBorder="1">
      <alignment vertical="center"/>
    </xf>
    <xf numFmtId="0" fontId="18" fillId="2" borderId="62" xfId="6" applyFont="1" applyFill="1" applyBorder="1">
      <alignment vertical="center"/>
    </xf>
    <xf numFmtId="0" fontId="18" fillId="2" borderId="63" xfId="6" applyFont="1" applyFill="1" applyBorder="1">
      <alignment vertical="center"/>
    </xf>
    <xf numFmtId="0" fontId="13" fillId="0" borderId="0" xfId="6" applyFont="1" applyAlignment="1">
      <alignment horizontal="center"/>
    </xf>
    <xf numFmtId="0" fontId="13" fillId="0" borderId="0" xfId="6" applyFont="1" applyAlignment="1">
      <alignment horizontal="center"/>
    </xf>
    <xf numFmtId="0" fontId="28" fillId="0" borderId="0" xfId="7" applyFont="1" applyAlignment="1">
      <alignment horizontal="center" vertical="center"/>
    </xf>
    <xf numFmtId="0" fontId="29" fillId="0" borderId="0" xfId="7" applyFont="1" applyAlignment="1">
      <alignment horizontal="center" vertical="center"/>
    </xf>
    <xf numFmtId="0" fontId="28" fillId="0" borderId="0" xfId="7" applyFont="1" applyAlignment="1">
      <alignment horizontal="center" vertical="center"/>
    </xf>
    <xf numFmtId="0" fontId="28" fillId="0" borderId="0" xfId="7" applyFont="1" applyAlignment="1">
      <alignment vertical="center"/>
    </xf>
    <xf numFmtId="0" fontId="28" fillId="0" borderId="0" xfId="7" quotePrefix="1" applyFont="1" applyAlignment="1">
      <alignment horizontal="left" vertical="center"/>
    </xf>
    <xf numFmtId="0" fontId="28" fillId="0" borderId="0" xfId="7" applyFont="1" applyAlignment="1">
      <alignment horizontal="left" vertical="center"/>
    </xf>
    <xf numFmtId="164" fontId="28" fillId="0" borderId="0" xfId="7" applyNumberFormat="1" applyFont="1" applyAlignment="1">
      <alignment horizontal="left" vertical="center"/>
    </xf>
    <xf numFmtId="0" fontId="30" fillId="0" borderId="64" xfId="7" applyFont="1" applyBorder="1" applyAlignment="1">
      <alignment horizontal="center" vertical="center"/>
    </xf>
    <xf numFmtId="0" fontId="30" fillId="0" borderId="64" xfId="7" applyFont="1" applyBorder="1" applyAlignment="1">
      <alignment horizontal="center" vertical="center" wrapText="1"/>
    </xf>
    <xf numFmtId="0" fontId="30" fillId="0" borderId="65" xfId="7" applyFont="1" applyBorder="1" applyAlignment="1">
      <alignment horizontal="center" vertical="center" wrapText="1"/>
    </xf>
    <xf numFmtId="0" fontId="30" fillId="0" borderId="49" xfId="7" applyFont="1" applyBorder="1" applyAlignment="1">
      <alignment horizontal="center" vertical="center" wrapText="1"/>
    </xf>
    <xf numFmtId="0" fontId="30" fillId="0" borderId="66" xfId="7" applyFont="1" applyBorder="1" applyAlignment="1">
      <alignment horizontal="center" vertical="center" wrapText="1"/>
    </xf>
    <xf numFmtId="0" fontId="30" fillId="0" borderId="67" xfId="7" applyFont="1" applyBorder="1" applyAlignment="1">
      <alignment horizontal="center" vertical="center" wrapText="1"/>
    </xf>
    <xf numFmtId="0" fontId="30" fillId="0" borderId="43" xfId="7" applyFont="1" applyBorder="1" applyAlignment="1">
      <alignment horizontal="center" vertical="center" wrapText="1"/>
    </xf>
    <xf numFmtId="0" fontId="30" fillId="0" borderId="68" xfId="7" applyFont="1" applyBorder="1" applyAlignment="1">
      <alignment horizontal="center" vertical="center" wrapText="1"/>
    </xf>
    <xf numFmtId="0" fontId="30" fillId="0" borderId="69" xfId="7" applyFont="1" applyBorder="1" applyAlignment="1">
      <alignment horizontal="center" vertical="center" wrapText="1"/>
    </xf>
    <xf numFmtId="0" fontId="31" fillId="0" borderId="69" xfId="7" applyFont="1" applyBorder="1" applyAlignment="1">
      <alignment horizontal="center" vertical="center" textRotation="180" wrapText="1"/>
    </xf>
    <xf numFmtId="0" fontId="30" fillId="0" borderId="64" xfId="7" applyFont="1" applyBorder="1" applyAlignment="1">
      <alignment horizontal="center" vertical="center" wrapText="1"/>
    </xf>
    <xf numFmtId="0" fontId="30" fillId="0" borderId="70" xfId="7" applyFont="1" applyBorder="1" applyAlignment="1">
      <alignment horizontal="center" vertical="center" wrapText="1"/>
    </xf>
    <xf numFmtId="0" fontId="31" fillId="0" borderId="70" xfId="7" applyFont="1" applyBorder="1" applyAlignment="1">
      <alignment horizontal="center" vertical="center" textRotation="180" wrapText="1"/>
    </xf>
    <xf numFmtId="0" fontId="29" fillId="0" borderId="64" xfId="7" applyFont="1" applyBorder="1" applyAlignment="1">
      <alignment horizontal="center" vertical="center"/>
    </xf>
    <xf numFmtId="0" fontId="11" fillId="0" borderId="64" xfId="7" applyFont="1" applyBorder="1" applyAlignment="1">
      <alignment horizontal="center" vertical="center"/>
    </xf>
    <xf numFmtId="0" fontId="11" fillId="0" borderId="64" xfId="7" quotePrefix="1" applyFont="1" applyBorder="1" applyAlignment="1">
      <alignment horizontal="center" vertical="center"/>
    </xf>
    <xf numFmtId="0" fontId="29" fillId="0" borderId="64" xfId="7" quotePrefix="1" applyFont="1" applyBorder="1" applyAlignment="1">
      <alignment horizontal="center" vertical="center"/>
    </xf>
    <xf numFmtId="0" fontId="28" fillId="0" borderId="71" xfId="7" applyFont="1" applyBorder="1" applyAlignment="1">
      <alignment horizontal="center" vertical="center"/>
    </xf>
    <xf numFmtId="0" fontId="28" fillId="0" borderId="63" xfId="7" applyFont="1" applyBorder="1" applyAlignment="1">
      <alignment horizontal="center" vertical="center"/>
    </xf>
    <xf numFmtId="0" fontId="28" fillId="0" borderId="64" xfId="7" applyFont="1" applyBorder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2" fillId="0" borderId="0" xfId="3" applyFont="1" applyAlignment="1">
      <alignment vertical="center"/>
    </xf>
    <xf numFmtId="0" fontId="33" fillId="0" borderId="0" xfId="3" applyFont="1"/>
    <xf numFmtId="0" fontId="32" fillId="0" borderId="0" xfId="3" applyFont="1" applyAlignment="1">
      <alignment horizontal="center" vertical="center"/>
    </xf>
    <xf numFmtId="165" fontId="34" fillId="0" borderId="0" xfId="3" applyNumberFormat="1" applyFont="1" applyAlignment="1">
      <alignment vertical="center"/>
    </xf>
    <xf numFmtId="165" fontId="34" fillId="0" borderId="0" xfId="3" applyNumberFormat="1" applyFont="1" applyAlignment="1">
      <alignment horizontal="center" vertical="center"/>
    </xf>
    <xf numFmtId="0" fontId="35" fillId="0" borderId="0" xfId="3" applyFont="1"/>
    <xf numFmtId="0" fontId="34" fillId="0" borderId="0" xfId="3" applyFont="1" applyAlignment="1">
      <alignment vertical="center"/>
    </xf>
    <xf numFmtId="0" fontId="36" fillId="0" borderId="0" xfId="3" quotePrefix="1" applyFont="1" applyAlignment="1">
      <alignment horizontal="left" vertical="center"/>
    </xf>
    <xf numFmtId="0" fontId="36" fillId="0" borderId="0" xfId="3" applyFont="1" applyAlignment="1">
      <alignment horizontal="left" vertical="center"/>
    </xf>
    <xf numFmtId="165" fontId="34" fillId="0" borderId="0" xfId="3" applyNumberFormat="1" applyFont="1" applyAlignment="1">
      <alignment vertical="center"/>
    </xf>
    <xf numFmtId="166" fontId="37" fillId="0" borderId="0" xfId="3" applyNumberFormat="1" applyFont="1" applyAlignment="1">
      <alignment vertical="center"/>
    </xf>
    <xf numFmtId="165" fontId="34" fillId="0" borderId="28" xfId="3" applyNumberFormat="1" applyFont="1" applyBorder="1" applyAlignment="1">
      <alignment vertical="center"/>
    </xf>
    <xf numFmtId="0" fontId="37" fillId="0" borderId="0" xfId="3" applyFont="1" applyAlignment="1">
      <alignment vertical="center"/>
    </xf>
    <xf numFmtId="0" fontId="38" fillId="0" borderId="30" xfId="3" applyFont="1" applyBorder="1" applyAlignment="1">
      <alignment horizontal="center" vertical="center"/>
    </xf>
    <xf numFmtId="0" fontId="38" fillId="0" borderId="30" xfId="3" applyFont="1" applyBorder="1" applyAlignment="1">
      <alignment horizontal="center" vertical="center" wrapText="1"/>
    </xf>
    <xf numFmtId="0" fontId="38" fillId="0" borderId="34" xfId="3" applyFont="1" applyBorder="1" applyAlignment="1">
      <alignment horizontal="center" vertical="center"/>
    </xf>
    <xf numFmtId="0" fontId="38" fillId="0" borderId="29" xfId="3" applyFont="1" applyBorder="1" applyAlignment="1">
      <alignment horizontal="center" vertical="center"/>
    </xf>
    <xf numFmtId="0" fontId="38" fillId="0" borderId="35" xfId="3" applyFont="1" applyBorder="1" applyAlignment="1">
      <alignment horizontal="center" vertical="center"/>
    </xf>
    <xf numFmtId="0" fontId="38" fillId="0" borderId="36" xfId="3" applyFont="1" applyBorder="1" applyAlignment="1">
      <alignment horizontal="center" vertical="center"/>
    </xf>
    <xf numFmtId="0" fontId="38" fillId="0" borderId="36" xfId="3" applyFont="1" applyBorder="1" applyAlignment="1">
      <alignment horizontal="center" vertical="center" wrapText="1"/>
    </xf>
    <xf numFmtId="0" fontId="38" fillId="0" borderId="34" xfId="3" applyFont="1" applyBorder="1" applyAlignment="1">
      <alignment horizontal="center"/>
    </xf>
    <xf numFmtId="0" fontId="38" fillId="0" borderId="35" xfId="3" applyFont="1" applyBorder="1" applyAlignment="1">
      <alignment horizontal="center"/>
    </xf>
    <xf numFmtId="0" fontId="38" fillId="0" borderId="38" xfId="3" applyFont="1" applyBorder="1" applyAlignment="1">
      <alignment horizontal="center" vertical="center"/>
    </xf>
    <xf numFmtId="0" fontId="38" fillId="0" borderId="38" xfId="3" applyFont="1" applyBorder="1" applyAlignment="1">
      <alignment horizontal="center" vertical="center" wrapText="1"/>
    </xf>
    <xf numFmtId="0" fontId="38" fillId="0" borderId="0" xfId="3" applyFont="1" applyAlignment="1">
      <alignment horizontal="center"/>
    </xf>
    <xf numFmtId="0" fontId="38" fillId="0" borderId="30" xfId="3" applyFont="1" applyBorder="1" applyAlignment="1">
      <alignment horizontal="center"/>
    </xf>
    <xf numFmtId="0" fontId="39" fillId="0" borderId="34" xfId="3" applyFont="1" applyBorder="1" applyAlignment="1">
      <alignment horizontal="center" vertical="center"/>
    </xf>
    <xf numFmtId="0" fontId="39" fillId="0" borderId="33" xfId="3" applyFont="1" applyBorder="1" applyAlignment="1">
      <alignment horizontal="center" vertical="center"/>
    </xf>
    <xf numFmtId="0" fontId="39" fillId="0" borderId="29" xfId="3" applyFont="1" applyBorder="1" applyAlignment="1">
      <alignment horizontal="center" vertical="center"/>
    </xf>
    <xf numFmtId="0" fontId="39" fillId="0" borderId="35" xfId="3" applyFont="1" applyBorder="1" applyAlignment="1">
      <alignment horizontal="center" vertical="center"/>
    </xf>
    <xf numFmtId="0" fontId="39" fillId="0" borderId="33" xfId="3" applyFont="1" applyBorder="1" applyAlignment="1">
      <alignment horizontal="left" vertical="center" wrapText="1"/>
    </xf>
    <xf numFmtId="0" fontId="39" fillId="0" borderId="29" xfId="3" applyFont="1" applyBorder="1" applyAlignment="1">
      <alignment horizontal="left" vertical="center" wrapText="1"/>
    </xf>
    <xf numFmtId="0" fontId="32" fillId="0" borderId="33" xfId="3" applyFont="1" applyBorder="1"/>
    <xf numFmtId="0" fontId="32" fillId="0" borderId="38" xfId="3" applyFont="1" applyBorder="1"/>
    <xf numFmtId="0" fontId="32" fillId="0" borderId="34" xfId="3" applyFont="1" applyBorder="1" applyAlignment="1">
      <alignment horizontal="center" vertical="center"/>
    </xf>
    <xf numFmtId="0" fontId="32" fillId="0" borderId="35" xfId="3" applyFont="1" applyBorder="1" applyAlignment="1">
      <alignment horizontal="center" vertical="center"/>
    </xf>
    <xf numFmtId="0" fontId="32" fillId="0" borderId="0" xfId="3" applyFont="1"/>
    <xf numFmtId="0" fontId="40" fillId="0" borderId="0" xfId="3" applyFont="1" applyAlignment="1">
      <alignment horizontal="left" vertical="center"/>
    </xf>
    <xf numFmtId="165" fontId="40" fillId="0" borderId="0" xfId="3" applyNumberFormat="1" applyFont="1" applyAlignment="1">
      <alignment horizontal="left" vertical="center"/>
    </xf>
    <xf numFmtId="167" fontId="40" fillId="0" borderId="0" xfId="3" applyNumberFormat="1" applyFont="1" applyAlignment="1">
      <alignment horizontal="left" vertical="center"/>
    </xf>
    <xf numFmtId="165" fontId="40" fillId="0" borderId="0" xfId="3" applyNumberFormat="1" applyFont="1"/>
    <xf numFmtId="0" fontId="40" fillId="0" borderId="0" xfId="3" applyFont="1"/>
  </cellXfs>
  <cellStyles count="8">
    <cellStyle name="Normal" xfId="0" builtinId="0"/>
    <cellStyle name="Normal 2" xfId="1" xr:uid="{75372ABF-CB94-4899-800E-0A0F735FB0C3}"/>
    <cellStyle name="Normal 2 2 2" xfId="3" xr:uid="{D484E7D2-0A84-41B6-93E6-2A5F1AE17EEE}"/>
    <cellStyle name="Normal 3" xfId="2" xr:uid="{2205DBFF-5A9C-4E5F-B2FD-5CCF42DFC6C3}"/>
    <cellStyle name="Normal 4" xfId="5" xr:uid="{02D307E4-FCA1-4D47-A189-6AA6BBD703AF}"/>
    <cellStyle name="Normal 4 3" xfId="4" xr:uid="{922F08CE-AC34-45EE-8925-A17010C30F62}"/>
    <cellStyle name="Normal 6" xfId="6" xr:uid="{2EEFC9A0-CA0C-4E34-9B39-50F1CB4BF861}"/>
    <cellStyle name="Normal 7" xfId="7" xr:uid="{FB7C914A-7029-40C1-ABF8-7D6C60B569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DAWIS\008\NURUL\FORM%20PENDATAAN%20DAWIS%202025%20RW%20010%20NURUL.xlsx" TargetMode="External"/><Relationship Id="rId1" Type="http://schemas.openxmlformats.org/officeDocument/2006/relationships/externalLinkPath" Target="file:///H:\DAWIS\008\NURUL\FORM%20PENDATAAN%20DAWIS%202025%20RW%20010%20NURU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DAWIS"/>
      <sheetName val="SUMMARY-KUANTITAS"/>
      <sheetName val="SUMMARY-PROFIL"/>
      <sheetName val="SUMMARY-POTENSI"/>
      <sheetName val="SUMMARY - IBU HAMIL,MENYUSUI"/>
      <sheetName val="MANUAL"/>
      <sheetName val="MAPPING NURUL  2025"/>
      <sheetName val="FORM 3"/>
      <sheetName val="Data warga keluar"/>
      <sheetName val="DATA KELUARGA"/>
      <sheetName val="CATATAN KELURGA"/>
      <sheetName val="REKAPITULASI 2"/>
      <sheetName val="REKAPITULASI KRT"/>
      <sheetName val="Kuantitas Nurul"/>
      <sheetName val="PROFIL NURUL"/>
      <sheetName val="PROFIL NURUL 2"/>
      <sheetName val="POTENSI WARGA KELOMPOK"/>
      <sheetName val="FORM 2 (2)"/>
      <sheetName val="BANGUNAN"/>
      <sheetName val="PUS"/>
      <sheetName val="LANSIA"/>
      <sheetName val="DEWASA"/>
      <sheetName val="REMAJA"/>
      <sheetName val="ANAK"/>
      <sheetName val="BALITA"/>
      <sheetName val="MAPPING NURUL 2024"/>
      <sheetName val="REKAPITULASI"/>
    </sheetNames>
    <sheetDataSet>
      <sheetData sheetId="0">
        <row r="6">
          <cell r="B6">
            <v>46143</v>
          </cell>
        </row>
      </sheetData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9">
          <cell r="B39">
            <v>15</v>
          </cell>
          <cell r="E39">
            <v>22</v>
          </cell>
          <cell r="F39">
            <v>37</v>
          </cell>
          <cell r="G39">
            <v>25</v>
          </cell>
          <cell r="H39">
            <v>62</v>
          </cell>
          <cell r="I39">
            <v>0</v>
          </cell>
          <cell r="J39">
            <v>6</v>
          </cell>
          <cell r="K39">
            <v>18</v>
          </cell>
          <cell r="L39">
            <v>29</v>
          </cell>
          <cell r="M39">
            <v>9</v>
          </cell>
          <cell r="N39">
            <v>22</v>
          </cell>
          <cell r="O39">
            <v>8</v>
          </cell>
          <cell r="P39">
            <v>1</v>
          </cell>
          <cell r="Q39">
            <v>0</v>
          </cell>
          <cell r="R39">
            <v>1</v>
          </cell>
          <cell r="S39">
            <v>2</v>
          </cell>
          <cell r="T39">
            <v>1</v>
          </cell>
          <cell r="U39">
            <v>0</v>
          </cell>
          <cell r="V39">
            <v>1</v>
          </cell>
          <cell r="X39">
            <v>0</v>
          </cell>
          <cell r="Y39">
            <v>0</v>
          </cell>
          <cell r="Z39">
            <v>2</v>
          </cell>
          <cell r="AA39">
            <v>0</v>
          </cell>
        </row>
      </sheetData>
      <sheetData sheetId="14">
        <row r="37">
          <cell r="E37">
            <v>0</v>
          </cell>
          <cell r="F37">
            <v>0</v>
          </cell>
          <cell r="G37">
            <v>4</v>
          </cell>
          <cell r="H37">
            <v>2</v>
          </cell>
          <cell r="I37">
            <v>4</v>
          </cell>
          <cell r="J37">
            <v>1</v>
          </cell>
          <cell r="O37">
            <v>2</v>
          </cell>
          <cell r="P37">
            <v>0</v>
          </cell>
          <cell r="Q37">
            <v>0</v>
          </cell>
          <cell r="R37">
            <v>0</v>
          </cell>
          <cell r="T37">
            <v>2</v>
          </cell>
          <cell r="W37">
            <v>4</v>
          </cell>
          <cell r="Y37">
            <v>4</v>
          </cell>
          <cell r="Z37">
            <v>3</v>
          </cell>
          <cell r="AA37">
            <v>2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2</v>
          </cell>
          <cell r="AG37">
            <v>0</v>
          </cell>
          <cell r="AH37">
            <v>2</v>
          </cell>
          <cell r="AI37">
            <v>1</v>
          </cell>
          <cell r="AJ37">
            <v>1</v>
          </cell>
        </row>
      </sheetData>
      <sheetData sheetId="15" refreshError="1"/>
      <sheetData sheetId="16">
        <row r="35">
          <cell r="C35">
            <v>15</v>
          </cell>
          <cell r="D35">
            <v>22</v>
          </cell>
          <cell r="E35">
            <v>37</v>
          </cell>
          <cell r="F35">
            <v>25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8</v>
          </cell>
          <cell r="L35">
            <v>2</v>
          </cell>
          <cell r="M35">
            <v>0</v>
          </cell>
          <cell r="N35">
            <v>1</v>
          </cell>
          <cell r="O35">
            <v>2</v>
          </cell>
          <cell r="P35">
            <v>1</v>
          </cell>
          <cell r="Q35">
            <v>1</v>
          </cell>
          <cell r="R35">
            <v>1</v>
          </cell>
          <cell r="S35">
            <v>0</v>
          </cell>
          <cell r="U35">
            <v>2</v>
          </cell>
          <cell r="V35">
            <v>0</v>
          </cell>
          <cell r="W35">
            <v>0</v>
          </cell>
          <cell r="X35">
            <v>3</v>
          </cell>
          <cell r="Y35">
            <v>6</v>
          </cell>
          <cell r="Z35">
            <v>1</v>
          </cell>
          <cell r="AA35">
            <v>5</v>
          </cell>
          <cell r="AB35">
            <v>0</v>
          </cell>
          <cell r="AC35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0879-48FC-4D22-81EA-A39AF77CE957}">
  <sheetPr>
    <pageSetUpPr fitToPage="1"/>
  </sheetPr>
  <dimension ref="A1:R36"/>
  <sheetViews>
    <sheetView tabSelected="1" view="pageBreakPreview" zoomScaleNormal="100" zoomScaleSheetLayoutView="100" workbookViewId="0">
      <selection activeCell="E14" sqref="E14"/>
    </sheetView>
  </sheetViews>
  <sheetFormatPr defaultRowHeight="15" x14ac:dyDescent="0.25"/>
  <cols>
    <col min="1" max="1" width="3.6640625" style="198" customWidth="1"/>
    <col min="2" max="2" width="8.109375" style="198" customWidth="1"/>
    <col min="3" max="3" width="8.21875" style="198" customWidth="1"/>
    <col min="4" max="4" width="14.88671875" style="198" customWidth="1"/>
    <col min="5" max="5" width="8.77734375" style="198" customWidth="1"/>
    <col min="6" max="7" width="5.44140625" style="198" customWidth="1"/>
    <col min="8" max="8" width="8.88671875" style="198"/>
    <col min="9" max="10" width="6.44140625" style="198" customWidth="1"/>
    <col min="11" max="11" width="10.6640625" style="198" customWidth="1"/>
    <col min="12" max="12" width="10.109375" style="198" customWidth="1"/>
    <col min="13" max="14" width="5.6640625" style="198" customWidth="1"/>
    <col min="15" max="15" width="12.33203125" style="198" customWidth="1"/>
    <col min="16" max="16" width="9.5546875" style="198" customWidth="1"/>
    <col min="17" max="17" width="10.109375" style="198" customWidth="1"/>
    <col min="18" max="18" width="3" style="198" customWidth="1"/>
    <col min="19" max="16384" width="8.88671875" style="198"/>
  </cols>
  <sheetData>
    <row r="1" spans="1:18" ht="18.75" customHeight="1" x14ac:dyDescent="0.25">
      <c r="A1" s="196" t="s">
        <v>159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7"/>
    </row>
    <row r="2" spans="1:18" ht="18.75" customHeight="1" x14ac:dyDescent="0.25">
      <c r="A2" s="196" t="s">
        <v>160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7"/>
    </row>
    <row r="3" spans="1:18" ht="4.5" customHeight="1" x14ac:dyDescent="0.25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</row>
    <row r="4" spans="1:18" ht="18.75" customHeight="1" x14ac:dyDescent="0.3">
      <c r="A4" s="200"/>
      <c r="B4" s="200"/>
      <c r="C4" s="200"/>
      <c r="D4" s="200"/>
      <c r="E4" s="201" t="s">
        <v>161</v>
      </c>
      <c r="F4" s="201"/>
      <c r="G4" s="201"/>
      <c r="H4" s="201"/>
      <c r="I4" s="202" t="s">
        <v>55</v>
      </c>
      <c r="K4" s="203"/>
      <c r="L4" s="203"/>
      <c r="M4" s="203"/>
      <c r="N4" s="203"/>
      <c r="O4" s="203"/>
      <c r="P4" s="203"/>
      <c r="Q4" s="203"/>
    </row>
    <row r="5" spans="1:18" ht="18.75" customHeight="1" x14ac:dyDescent="0.25">
      <c r="A5" s="203"/>
      <c r="B5" s="203"/>
      <c r="C5" s="203"/>
      <c r="D5" s="203"/>
      <c r="E5" s="201" t="s">
        <v>162</v>
      </c>
      <c r="F5" s="201"/>
      <c r="G5" s="201"/>
      <c r="H5" s="201"/>
      <c r="I5" s="204" t="s">
        <v>1</v>
      </c>
      <c r="K5" s="203"/>
      <c r="L5" s="203"/>
      <c r="M5" s="203"/>
      <c r="N5" s="203"/>
      <c r="O5" s="203"/>
      <c r="P5" s="203"/>
      <c r="Q5" s="203"/>
    </row>
    <row r="6" spans="1:18" ht="18.75" customHeight="1" x14ac:dyDescent="0.25">
      <c r="A6" s="203"/>
      <c r="B6" s="203"/>
      <c r="C6" s="203"/>
      <c r="D6" s="203"/>
      <c r="E6" s="201" t="s">
        <v>163</v>
      </c>
      <c r="F6" s="201"/>
      <c r="G6" s="201"/>
      <c r="H6" s="201"/>
      <c r="I6" s="204" t="s">
        <v>46</v>
      </c>
      <c r="K6" s="203"/>
      <c r="L6" s="203"/>
      <c r="M6" s="203"/>
      <c r="N6" s="203"/>
      <c r="O6" s="203"/>
      <c r="P6" s="203"/>
      <c r="Q6" s="203"/>
    </row>
    <row r="7" spans="1:18" ht="18.75" customHeight="1" x14ac:dyDescent="0.25">
      <c r="A7" s="203"/>
      <c r="B7" s="203"/>
      <c r="C7" s="203"/>
      <c r="D7" s="203"/>
      <c r="E7" s="201" t="s">
        <v>164</v>
      </c>
      <c r="F7" s="201"/>
      <c r="G7" s="201"/>
      <c r="H7" s="201"/>
      <c r="I7" s="205" t="s">
        <v>42</v>
      </c>
      <c r="K7" s="203"/>
      <c r="L7" s="203"/>
      <c r="M7" s="203"/>
      <c r="N7" s="203"/>
      <c r="O7" s="203"/>
      <c r="P7" s="203"/>
      <c r="Q7" s="203"/>
    </row>
    <row r="8" spans="1:18" ht="18.75" customHeight="1" x14ac:dyDescent="0.25">
      <c r="A8" s="206" t="s">
        <v>165</v>
      </c>
      <c r="B8" s="206"/>
      <c r="C8" s="207">
        <f>'[1]DATA DAWIS'!B6</f>
        <v>46143</v>
      </c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</row>
    <row r="9" spans="1:18" ht="18.75" customHeight="1" x14ac:dyDescent="0.25">
      <c r="A9" s="208" t="s">
        <v>41</v>
      </c>
      <c r="B9" s="208"/>
      <c r="C9" s="209">
        <v>2026</v>
      </c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</row>
    <row r="10" spans="1:18" ht="18.75" customHeight="1" x14ac:dyDescent="0.25">
      <c r="A10" s="210" t="s">
        <v>40</v>
      </c>
      <c r="B10" s="210" t="s">
        <v>166</v>
      </c>
      <c r="C10" s="211" t="s">
        <v>167</v>
      </c>
      <c r="D10" s="211" t="s">
        <v>168</v>
      </c>
      <c r="E10" s="212" t="s">
        <v>169</v>
      </c>
      <c r="F10" s="213"/>
      <c r="G10" s="213"/>
      <c r="H10" s="213"/>
      <c r="I10" s="213"/>
      <c r="J10" s="214"/>
      <c r="K10" s="212" t="s">
        <v>170</v>
      </c>
      <c r="L10" s="213"/>
      <c r="M10" s="213"/>
      <c r="N10" s="213"/>
      <c r="O10" s="213"/>
      <c r="P10" s="214"/>
      <c r="Q10" s="210" t="s">
        <v>171</v>
      </c>
    </row>
    <row r="11" spans="1:18" ht="18.75" customHeight="1" x14ac:dyDescent="0.25">
      <c r="A11" s="215"/>
      <c r="B11" s="215"/>
      <c r="C11" s="216"/>
      <c r="D11" s="216"/>
      <c r="E11" s="210" t="s">
        <v>172</v>
      </c>
      <c r="F11" s="217" t="s">
        <v>173</v>
      </c>
      <c r="G11" s="218"/>
      <c r="H11" s="211" t="s">
        <v>174</v>
      </c>
      <c r="I11" s="217" t="s">
        <v>175</v>
      </c>
      <c r="J11" s="218"/>
      <c r="K11" s="211" t="s">
        <v>176</v>
      </c>
      <c r="L11" s="211" t="s">
        <v>177</v>
      </c>
      <c r="M11" s="217" t="s">
        <v>173</v>
      </c>
      <c r="N11" s="218"/>
      <c r="O11" s="210" t="s">
        <v>178</v>
      </c>
      <c r="P11" s="211" t="s">
        <v>179</v>
      </c>
      <c r="Q11" s="215"/>
    </row>
    <row r="12" spans="1:18" ht="18.75" customHeight="1" x14ac:dyDescent="0.25">
      <c r="A12" s="219"/>
      <c r="B12" s="219"/>
      <c r="C12" s="220"/>
      <c r="D12" s="220"/>
      <c r="E12" s="219"/>
      <c r="F12" s="221" t="s">
        <v>3</v>
      </c>
      <c r="G12" s="222" t="s">
        <v>2</v>
      </c>
      <c r="H12" s="220"/>
      <c r="I12" s="221" t="s">
        <v>180</v>
      </c>
      <c r="J12" s="222" t="s">
        <v>181</v>
      </c>
      <c r="K12" s="220"/>
      <c r="L12" s="220"/>
      <c r="M12" s="222" t="s">
        <v>3</v>
      </c>
      <c r="N12" s="221" t="s">
        <v>2</v>
      </c>
      <c r="O12" s="219"/>
      <c r="P12" s="220"/>
      <c r="Q12" s="219"/>
    </row>
    <row r="13" spans="1:18" ht="18.75" customHeight="1" x14ac:dyDescent="0.25">
      <c r="A13" s="223">
        <v>1</v>
      </c>
      <c r="B13" s="224">
        <v>2</v>
      </c>
      <c r="C13" s="225">
        <v>3</v>
      </c>
      <c r="D13" s="224">
        <v>4</v>
      </c>
      <c r="E13" s="224">
        <v>5</v>
      </c>
      <c r="F13" s="225">
        <v>6</v>
      </c>
      <c r="G13" s="224">
        <v>7</v>
      </c>
      <c r="H13" s="224">
        <v>8</v>
      </c>
      <c r="I13" s="225">
        <v>9</v>
      </c>
      <c r="J13" s="224">
        <v>10</v>
      </c>
      <c r="K13" s="224">
        <v>11</v>
      </c>
      <c r="L13" s="225">
        <v>12</v>
      </c>
      <c r="M13" s="224">
        <v>13</v>
      </c>
      <c r="N13" s="225">
        <v>14</v>
      </c>
      <c r="O13" s="224">
        <v>15</v>
      </c>
      <c r="P13" s="224">
        <v>16</v>
      </c>
      <c r="Q13" s="226">
        <v>17</v>
      </c>
    </row>
    <row r="14" spans="1:18" ht="30" customHeight="1" x14ac:dyDescent="0.25">
      <c r="A14" s="223">
        <v>1</v>
      </c>
      <c r="B14" s="227" t="s">
        <v>182</v>
      </c>
      <c r="C14" s="228" t="s">
        <v>183</v>
      </c>
      <c r="D14" s="224" t="s">
        <v>184</v>
      </c>
      <c r="E14" s="224"/>
      <c r="F14" s="225"/>
      <c r="G14" s="224"/>
      <c r="H14" s="224"/>
      <c r="I14" s="225"/>
      <c r="J14" s="224"/>
      <c r="K14" s="224"/>
      <c r="L14" s="225"/>
      <c r="M14" s="224"/>
      <c r="N14" s="225"/>
      <c r="O14" s="224"/>
      <c r="P14" s="224"/>
      <c r="Q14" s="226"/>
    </row>
    <row r="15" spans="1:18" ht="18.75" customHeight="1" x14ac:dyDescent="0.25">
      <c r="A15" s="223"/>
      <c r="B15" s="224"/>
      <c r="C15" s="225"/>
      <c r="D15" s="224"/>
      <c r="E15" s="224"/>
      <c r="F15" s="225"/>
      <c r="G15" s="224"/>
      <c r="H15" s="224"/>
      <c r="I15" s="225"/>
      <c r="J15" s="224"/>
      <c r="K15" s="224"/>
      <c r="L15" s="225"/>
      <c r="M15" s="224"/>
      <c r="N15" s="225"/>
      <c r="O15" s="224"/>
      <c r="P15" s="224"/>
      <c r="Q15" s="226"/>
    </row>
    <row r="16" spans="1:18" ht="18.75" customHeight="1" x14ac:dyDescent="0.25">
      <c r="A16" s="223"/>
      <c r="B16" s="224"/>
      <c r="C16" s="225"/>
      <c r="D16" s="224"/>
      <c r="E16" s="224"/>
      <c r="F16" s="225"/>
      <c r="G16" s="224"/>
      <c r="H16" s="224"/>
      <c r="I16" s="225"/>
      <c r="J16" s="224"/>
      <c r="K16" s="224"/>
      <c r="L16" s="225"/>
      <c r="M16" s="224"/>
      <c r="N16" s="225"/>
      <c r="O16" s="224"/>
      <c r="P16" s="224"/>
      <c r="Q16" s="226"/>
    </row>
    <row r="17" spans="1:17" ht="18.75" customHeight="1" x14ac:dyDescent="0.25">
      <c r="A17" s="223"/>
      <c r="B17" s="224"/>
      <c r="C17" s="225"/>
      <c r="D17" s="224"/>
      <c r="E17" s="224"/>
      <c r="F17" s="225"/>
      <c r="G17" s="224"/>
      <c r="H17" s="224"/>
      <c r="I17" s="225"/>
      <c r="J17" s="224"/>
      <c r="K17" s="224"/>
      <c r="L17" s="225"/>
      <c r="M17" s="224"/>
      <c r="N17" s="225"/>
      <c r="O17" s="224"/>
      <c r="P17" s="224"/>
      <c r="Q17" s="226"/>
    </row>
    <row r="18" spans="1:17" ht="18.75" customHeight="1" x14ac:dyDescent="0.25">
      <c r="A18" s="223"/>
      <c r="B18" s="224"/>
      <c r="C18" s="225"/>
      <c r="D18" s="224"/>
      <c r="E18" s="224"/>
      <c r="F18" s="225"/>
      <c r="G18" s="224"/>
      <c r="H18" s="224"/>
      <c r="I18" s="225"/>
      <c r="J18" s="224"/>
      <c r="K18" s="224"/>
      <c r="L18" s="225"/>
      <c r="M18" s="224"/>
      <c r="N18" s="225"/>
      <c r="O18" s="224"/>
      <c r="P18" s="224"/>
      <c r="Q18" s="226"/>
    </row>
    <row r="19" spans="1:17" ht="18.75" customHeight="1" x14ac:dyDescent="0.25">
      <c r="A19" s="223"/>
      <c r="B19" s="224"/>
      <c r="C19" s="225"/>
      <c r="D19" s="224"/>
      <c r="E19" s="224"/>
      <c r="F19" s="225"/>
      <c r="G19" s="224"/>
      <c r="H19" s="224"/>
      <c r="I19" s="225"/>
      <c r="J19" s="224"/>
      <c r="K19" s="224"/>
      <c r="L19" s="225"/>
      <c r="M19" s="224"/>
      <c r="N19" s="225"/>
      <c r="O19" s="224"/>
      <c r="P19" s="224"/>
      <c r="Q19" s="226"/>
    </row>
    <row r="20" spans="1:17" ht="18.75" customHeight="1" x14ac:dyDescent="0.25">
      <c r="A20" s="229"/>
      <c r="B20" s="229"/>
      <c r="C20" s="229"/>
      <c r="D20" s="229"/>
      <c r="E20" s="229"/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</row>
    <row r="21" spans="1:17" ht="18.75" customHeight="1" x14ac:dyDescent="0.25">
      <c r="A21" s="229"/>
      <c r="B21" s="229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</row>
    <row r="22" spans="1:17" ht="18.75" customHeight="1" x14ac:dyDescent="0.25">
      <c r="A22" s="230"/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0"/>
    </row>
    <row r="23" spans="1:17" ht="18.75" customHeight="1" x14ac:dyDescent="0.25">
      <c r="A23" s="229"/>
      <c r="B23" s="229"/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</row>
    <row r="24" spans="1:17" ht="18.75" customHeight="1" x14ac:dyDescent="0.25">
      <c r="A24" s="229"/>
      <c r="B24" s="229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</row>
    <row r="25" spans="1:17" ht="18.75" customHeight="1" x14ac:dyDescent="0.25">
      <c r="A25" s="229"/>
      <c r="B25" s="229"/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</row>
    <row r="26" spans="1:17" ht="18.75" customHeight="1" x14ac:dyDescent="0.25">
      <c r="A26" s="231" t="s">
        <v>185</v>
      </c>
      <c r="B26" s="232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</row>
    <row r="27" spans="1:17" ht="18.75" customHeight="1" x14ac:dyDescent="0.25">
      <c r="A27" s="233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</row>
    <row r="28" spans="1:17" ht="18.75" customHeight="1" x14ac:dyDescent="0.25">
      <c r="A28" s="234" t="s">
        <v>186</v>
      </c>
    </row>
    <row r="29" spans="1:17" ht="18.75" customHeight="1" x14ac:dyDescent="0.25">
      <c r="A29" s="235" t="s">
        <v>187</v>
      </c>
      <c r="B29" s="235"/>
      <c r="C29" s="235"/>
      <c r="D29" s="236">
        <v>1</v>
      </c>
    </row>
    <row r="30" spans="1:17" ht="18.75" customHeight="1" x14ac:dyDescent="0.25">
      <c r="A30" s="235" t="s">
        <v>188</v>
      </c>
      <c r="B30" s="235"/>
      <c r="C30" s="235"/>
      <c r="D30" s="236">
        <v>0</v>
      </c>
    </row>
    <row r="31" spans="1:17" ht="18.75" customHeight="1" x14ac:dyDescent="0.25">
      <c r="A31" s="235" t="s">
        <v>189</v>
      </c>
      <c r="B31" s="235"/>
      <c r="C31" s="235"/>
      <c r="D31" s="236">
        <v>0</v>
      </c>
    </row>
    <row r="32" spans="1:17" ht="18.75" customHeight="1" x14ac:dyDescent="0.25">
      <c r="A32" s="235" t="s">
        <v>190</v>
      </c>
      <c r="B32" s="235"/>
      <c r="C32" s="235"/>
      <c r="D32" s="236">
        <v>0</v>
      </c>
    </row>
    <row r="33" spans="1:4" x14ac:dyDescent="0.25">
      <c r="A33" s="235" t="s">
        <v>191</v>
      </c>
      <c r="B33" s="235"/>
      <c r="C33" s="235"/>
      <c r="D33" s="236">
        <v>0</v>
      </c>
    </row>
    <row r="34" spans="1:4" x14ac:dyDescent="0.25">
      <c r="A34" s="237" t="s">
        <v>192</v>
      </c>
      <c r="B34" s="237"/>
      <c r="C34" s="237"/>
      <c r="D34" s="236">
        <v>0</v>
      </c>
    </row>
    <row r="35" spans="1:4" x14ac:dyDescent="0.25">
      <c r="A35" s="237" t="s">
        <v>193</v>
      </c>
      <c r="B35" s="237"/>
      <c r="C35" s="237"/>
      <c r="D35" s="236">
        <v>0</v>
      </c>
    </row>
    <row r="36" spans="1:4" x14ac:dyDescent="0.25">
      <c r="A36" s="238" t="s">
        <v>194</v>
      </c>
      <c r="B36" s="238"/>
      <c r="C36" s="238"/>
      <c r="D36" s="238"/>
    </row>
  </sheetData>
  <mergeCells count="32">
    <mergeCell ref="A32:C32"/>
    <mergeCell ref="A33:C33"/>
    <mergeCell ref="A34:C34"/>
    <mergeCell ref="A35:C35"/>
    <mergeCell ref="O11:O12"/>
    <mergeCell ref="P11:P12"/>
    <mergeCell ref="A26:B26"/>
    <mergeCell ref="A29:C29"/>
    <mergeCell ref="A30:C30"/>
    <mergeCell ref="A31:C31"/>
    <mergeCell ref="E10:J10"/>
    <mergeCell ref="K10:P10"/>
    <mergeCell ref="Q10:Q12"/>
    <mergeCell ref="E11:E12"/>
    <mergeCell ref="F11:G11"/>
    <mergeCell ref="H11:H12"/>
    <mergeCell ref="I11:J11"/>
    <mergeCell ref="K11:K12"/>
    <mergeCell ref="L11:L12"/>
    <mergeCell ref="M11:N11"/>
    <mergeCell ref="A8:B8"/>
    <mergeCell ref="A9:B9"/>
    <mergeCell ref="A10:A12"/>
    <mergeCell ref="B10:B12"/>
    <mergeCell ref="C10:C12"/>
    <mergeCell ref="D10:D12"/>
    <mergeCell ref="A1:Q1"/>
    <mergeCell ref="A2:Q2"/>
    <mergeCell ref="E4:H4"/>
    <mergeCell ref="E5:H5"/>
    <mergeCell ref="E6:H6"/>
    <mergeCell ref="E7:H7"/>
  </mergeCells>
  <pageMargins left="0.7" right="0.7" top="0.75" bottom="0.75" header="0.3" footer="0.3"/>
  <pageSetup paperSize="14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024B-7263-4E82-B6D2-DECF5D1F26DE}">
  <sheetPr>
    <pageSetUpPr fitToPage="1"/>
  </sheetPr>
  <dimension ref="A1:AG30"/>
  <sheetViews>
    <sheetView topLeftCell="F9" zoomScaleNormal="100" zoomScaleSheetLayoutView="100" workbookViewId="0">
      <selection activeCell="L15" sqref="L15"/>
    </sheetView>
  </sheetViews>
  <sheetFormatPr defaultColWidth="7" defaultRowHeight="12.75" x14ac:dyDescent="0.3"/>
  <cols>
    <col min="1" max="1" width="3.6640625" style="170" customWidth="1"/>
    <col min="2" max="2" width="7.77734375" style="170" customWidth="1"/>
    <col min="3" max="3" width="8.5546875" style="170" customWidth="1"/>
    <col min="4" max="4" width="7.88671875" style="170" customWidth="1"/>
    <col min="5" max="5" width="8.21875" style="170" customWidth="1"/>
    <col min="6" max="6" width="4.44140625" style="170" customWidth="1"/>
    <col min="7" max="7" width="4.33203125" style="170" customWidth="1"/>
    <col min="8" max="9" width="3.44140625" style="170" customWidth="1"/>
    <col min="10" max="17" width="4.44140625" style="170" customWidth="1"/>
    <col min="18" max="18" width="4.6640625" style="170" customWidth="1"/>
    <col min="19" max="26" width="4.44140625" style="170" customWidth="1"/>
    <col min="27" max="31" width="5.77734375" style="170" customWidth="1"/>
    <col min="32" max="32" width="6.33203125" style="170" customWidth="1"/>
    <col min="33" max="16384" width="7" style="170"/>
  </cols>
  <sheetData>
    <row r="1" spans="1:33" ht="16.5" customHeight="1" x14ac:dyDescent="0.3">
      <c r="A1" s="169" t="s">
        <v>133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</row>
    <row r="2" spans="1:33" ht="16.5" customHeight="1" x14ac:dyDescent="0.3">
      <c r="A2" s="169" t="s">
        <v>134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</row>
    <row r="3" spans="1:33" ht="16.5" customHeight="1" x14ac:dyDescent="0.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</row>
    <row r="4" spans="1:33" ht="16.5" customHeight="1" x14ac:dyDescent="0.3">
      <c r="A4" s="171"/>
      <c r="B4" s="171"/>
      <c r="C4" s="171"/>
      <c r="D4" s="171"/>
      <c r="E4" s="171"/>
      <c r="F4" s="171"/>
      <c r="G4" s="171"/>
      <c r="H4" s="171"/>
      <c r="I4" s="171"/>
      <c r="M4" s="172" t="s">
        <v>47</v>
      </c>
      <c r="N4" s="172"/>
      <c r="O4" s="172"/>
      <c r="P4" s="172"/>
      <c r="Q4" s="122" t="s">
        <v>135</v>
      </c>
      <c r="R4" s="173" t="s">
        <v>57</v>
      </c>
      <c r="S4" s="172"/>
      <c r="T4" s="172"/>
      <c r="U4" s="172"/>
      <c r="V4" s="172"/>
      <c r="X4" s="171"/>
      <c r="Y4" s="171"/>
      <c r="Z4" s="171"/>
      <c r="AA4" s="171"/>
      <c r="AB4" s="171"/>
      <c r="AC4" s="171"/>
      <c r="AD4" s="171"/>
      <c r="AE4" s="171"/>
      <c r="AF4" s="171"/>
    </row>
    <row r="5" spans="1:33" ht="16.5" customHeight="1" x14ac:dyDescent="0.3">
      <c r="A5" s="171"/>
      <c r="B5" s="171"/>
      <c r="C5" s="171"/>
      <c r="D5" s="171"/>
      <c r="E5" s="171"/>
      <c r="F5" s="171"/>
      <c r="G5" s="171"/>
      <c r="H5" s="171"/>
      <c r="I5" s="171"/>
      <c r="M5" s="172" t="s">
        <v>136</v>
      </c>
      <c r="N5" s="172"/>
      <c r="O5" s="172"/>
      <c r="P5" s="172"/>
      <c r="Q5" s="122" t="s">
        <v>135</v>
      </c>
      <c r="R5" s="174" t="s">
        <v>42</v>
      </c>
      <c r="S5" s="172"/>
      <c r="T5" s="172"/>
      <c r="U5" s="172"/>
      <c r="V5" s="172"/>
      <c r="X5" s="171"/>
      <c r="Y5" s="171"/>
      <c r="Z5" s="171"/>
      <c r="AA5" s="171"/>
      <c r="AB5" s="171"/>
      <c r="AC5" s="171"/>
      <c r="AD5" s="171"/>
      <c r="AE5" s="171"/>
      <c r="AF5" s="171"/>
    </row>
    <row r="6" spans="1:33" ht="16.5" customHeight="1" x14ac:dyDescent="0.3">
      <c r="A6" s="171"/>
      <c r="B6" s="171"/>
      <c r="C6" s="171"/>
      <c r="D6" s="171"/>
      <c r="E6" s="171"/>
      <c r="F6" s="171"/>
      <c r="G6" s="171"/>
      <c r="H6" s="171"/>
      <c r="I6" s="171"/>
      <c r="M6" s="172" t="s">
        <v>43</v>
      </c>
      <c r="N6" s="172"/>
      <c r="O6" s="172"/>
      <c r="P6" s="172"/>
      <c r="Q6" s="122" t="s">
        <v>135</v>
      </c>
      <c r="R6" s="174" t="s">
        <v>42</v>
      </c>
      <c r="S6" s="172"/>
      <c r="T6" s="172"/>
      <c r="U6" s="172"/>
      <c r="V6" s="172"/>
      <c r="X6" s="171"/>
      <c r="Y6" s="171"/>
      <c r="Z6" s="171"/>
      <c r="AA6" s="171"/>
      <c r="AB6" s="171"/>
      <c r="AC6" s="171"/>
      <c r="AD6" s="171"/>
      <c r="AE6" s="171"/>
      <c r="AF6" s="171"/>
    </row>
    <row r="7" spans="1:33" ht="16.5" customHeight="1" x14ac:dyDescent="0.3">
      <c r="A7" s="171"/>
      <c r="B7" s="171"/>
      <c r="C7" s="171"/>
      <c r="D7" s="171"/>
      <c r="E7" s="171"/>
      <c r="F7" s="171"/>
      <c r="G7" s="171"/>
      <c r="H7" s="171"/>
      <c r="I7" s="171"/>
      <c r="M7" s="172" t="s">
        <v>41</v>
      </c>
      <c r="N7" s="172"/>
      <c r="O7" s="172"/>
      <c r="P7" s="172"/>
      <c r="Q7" s="122" t="s">
        <v>135</v>
      </c>
      <c r="R7" s="174">
        <v>2025</v>
      </c>
      <c r="S7" s="172"/>
      <c r="T7" s="172"/>
      <c r="U7" s="172"/>
      <c r="V7" s="172"/>
      <c r="X7" s="171"/>
      <c r="Y7" s="171"/>
      <c r="Z7" s="171"/>
      <c r="AA7" s="171"/>
      <c r="AB7" s="171"/>
      <c r="AC7" s="171"/>
      <c r="AD7" s="171"/>
      <c r="AE7" s="171"/>
      <c r="AF7" s="171"/>
    </row>
    <row r="8" spans="1:33" ht="16.5" customHeight="1" x14ac:dyDescent="0.3">
      <c r="A8" s="171"/>
      <c r="B8" s="171"/>
      <c r="C8" s="171"/>
      <c r="D8" s="171"/>
      <c r="E8" s="171"/>
      <c r="F8" s="171"/>
      <c r="G8" s="171"/>
      <c r="H8" s="171"/>
      <c r="I8" s="171"/>
      <c r="M8" s="174" t="s">
        <v>137</v>
      </c>
      <c r="N8" s="174"/>
      <c r="O8" s="174"/>
      <c r="P8" s="174"/>
      <c r="Q8" s="122" t="s">
        <v>135</v>
      </c>
      <c r="R8" s="175">
        <f>'[1]DATA DAWIS'!B6</f>
        <v>46143</v>
      </c>
      <c r="S8" s="175"/>
      <c r="T8" s="175"/>
      <c r="U8" s="175"/>
      <c r="V8" s="174"/>
      <c r="X8" s="171"/>
      <c r="Y8" s="171"/>
      <c r="Z8" s="171"/>
      <c r="AA8" s="171"/>
      <c r="AB8" s="171"/>
      <c r="AC8" s="171"/>
      <c r="AD8" s="171"/>
      <c r="AE8" s="171"/>
      <c r="AF8" s="171"/>
    </row>
    <row r="9" spans="1:33" ht="16.5" customHeight="1" thickBot="1" x14ac:dyDescent="0.35"/>
    <row r="10" spans="1:33" ht="15" customHeight="1" thickBot="1" x14ac:dyDescent="0.35">
      <c r="A10" s="176" t="s">
        <v>40</v>
      </c>
      <c r="B10" s="176" t="s">
        <v>39</v>
      </c>
      <c r="C10" s="177" t="s">
        <v>138</v>
      </c>
      <c r="D10" s="177" t="s">
        <v>139</v>
      </c>
      <c r="E10" s="177" t="s">
        <v>140</v>
      </c>
      <c r="F10" s="177" t="s">
        <v>141</v>
      </c>
      <c r="G10" s="177" t="s">
        <v>36</v>
      </c>
      <c r="H10" s="176" t="s">
        <v>29</v>
      </c>
      <c r="I10" s="176"/>
      <c r="J10" s="177" t="s">
        <v>28</v>
      </c>
      <c r="K10" s="177"/>
      <c r="L10" s="177"/>
      <c r="M10" s="177"/>
      <c r="N10" s="177" t="s">
        <v>26</v>
      </c>
      <c r="O10" s="178" t="s">
        <v>142</v>
      </c>
      <c r="P10" s="179"/>
      <c r="Q10" s="179"/>
      <c r="R10" s="179"/>
      <c r="S10" s="179"/>
      <c r="T10" s="179"/>
      <c r="U10" s="179"/>
      <c r="V10" s="180"/>
      <c r="W10" s="177" t="s">
        <v>143</v>
      </c>
      <c r="X10" s="177"/>
      <c r="Y10" s="177"/>
      <c r="Z10" s="177"/>
      <c r="AA10" s="177" t="s">
        <v>21</v>
      </c>
      <c r="AB10" s="177"/>
      <c r="AC10" s="177"/>
      <c r="AD10" s="177"/>
      <c r="AE10" s="177" t="s">
        <v>144</v>
      </c>
      <c r="AF10" s="177"/>
      <c r="AG10" s="177" t="s">
        <v>30</v>
      </c>
    </row>
    <row r="11" spans="1:33" ht="15" customHeight="1" thickBot="1" x14ac:dyDescent="0.35">
      <c r="A11" s="176"/>
      <c r="B11" s="176"/>
      <c r="C11" s="177"/>
      <c r="D11" s="177"/>
      <c r="E11" s="177"/>
      <c r="F11" s="177"/>
      <c r="G11" s="177"/>
      <c r="H11" s="176" t="s">
        <v>3</v>
      </c>
      <c r="I11" s="176" t="s">
        <v>2</v>
      </c>
      <c r="J11" s="177" t="s">
        <v>3</v>
      </c>
      <c r="K11" s="177" t="s">
        <v>2</v>
      </c>
      <c r="L11" s="177" t="s">
        <v>145</v>
      </c>
      <c r="M11" s="177"/>
      <c r="N11" s="177"/>
      <c r="O11" s="181"/>
      <c r="P11" s="182"/>
      <c r="Q11" s="182"/>
      <c r="R11" s="182"/>
      <c r="S11" s="182"/>
      <c r="T11" s="182"/>
      <c r="U11" s="182"/>
      <c r="V11" s="183"/>
      <c r="W11" s="177" t="s">
        <v>3</v>
      </c>
      <c r="X11" s="177" t="s">
        <v>2</v>
      </c>
      <c r="Y11" s="177" t="s">
        <v>146</v>
      </c>
      <c r="Z11" s="177"/>
      <c r="AA11" s="177" t="s">
        <v>3</v>
      </c>
      <c r="AB11" s="177" t="s">
        <v>2</v>
      </c>
      <c r="AC11" s="177" t="s">
        <v>147</v>
      </c>
      <c r="AD11" s="177"/>
      <c r="AE11" s="177"/>
      <c r="AF11" s="177"/>
      <c r="AG11" s="177"/>
    </row>
    <row r="12" spans="1:33" ht="15" customHeight="1" thickBot="1" x14ac:dyDescent="0.35">
      <c r="A12" s="176"/>
      <c r="B12" s="176"/>
      <c r="C12" s="177"/>
      <c r="D12" s="177"/>
      <c r="E12" s="177"/>
      <c r="F12" s="177"/>
      <c r="G12" s="177"/>
      <c r="H12" s="176"/>
      <c r="I12" s="176"/>
      <c r="J12" s="177"/>
      <c r="K12" s="177"/>
      <c r="L12" s="177"/>
      <c r="M12" s="177"/>
      <c r="N12" s="177"/>
      <c r="O12" s="184" t="s">
        <v>148</v>
      </c>
      <c r="P12" s="184" t="s">
        <v>149</v>
      </c>
      <c r="Q12" s="184" t="s">
        <v>150</v>
      </c>
      <c r="R12" s="185" t="s">
        <v>151</v>
      </c>
      <c r="S12" s="185" t="s">
        <v>152</v>
      </c>
      <c r="T12" s="185" t="s">
        <v>153</v>
      </c>
      <c r="U12" s="184" t="s">
        <v>154</v>
      </c>
      <c r="V12" s="184" t="s">
        <v>155</v>
      </c>
      <c r="W12" s="177"/>
      <c r="X12" s="177"/>
      <c r="Y12" s="177"/>
      <c r="Z12" s="177"/>
      <c r="AA12" s="177"/>
      <c r="AB12" s="177"/>
      <c r="AC12" s="177"/>
      <c r="AD12" s="177"/>
      <c r="AE12" s="177" t="s">
        <v>3</v>
      </c>
      <c r="AF12" s="177" t="s">
        <v>2</v>
      </c>
      <c r="AG12" s="177"/>
    </row>
    <row r="13" spans="1:33" ht="27" customHeight="1" thickBot="1" x14ac:dyDescent="0.35">
      <c r="A13" s="176"/>
      <c r="B13" s="176"/>
      <c r="C13" s="177"/>
      <c r="D13" s="177"/>
      <c r="E13" s="177"/>
      <c r="F13" s="177"/>
      <c r="G13" s="177"/>
      <c r="H13" s="176"/>
      <c r="I13" s="176"/>
      <c r="J13" s="177"/>
      <c r="K13" s="177"/>
      <c r="L13" s="186" t="s">
        <v>3</v>
      </c>
      <c r="M13" s="186" t="s">
        <v>2</v>
      </c>
      <c r="N13" s="177"/>
      <c r="O13" s="187"/>
      <c r="P13" s="187"/>
      <c r="Q13" s="187"/>
      <c r="R13" s="188"/>
      <c r="S13" s="188"/>
      <c r="T13" s="188"/>
      <c r="U13" s="187"/>
      <c r="V13" s="187"/>
      <c r="W13" s="177"/>
      <c r="X13" s="177"/>
      <c r="Y13" s="186" t="s">
        <v>3</v>
      </c>
      <c r="Z13" s="186" t="s">
        <v>2</v>
      </c>
      <c r="AA13" s="177"/>
      <c r="AB13" s="177"/>
      <c r="AC13" s="186" t="s">
        <v>3</v>
      </c>
      <c r="AD13" s="186" t="s">
        <v>2</v>
      </c>
      <c r="AE13" s="177"/>
      <c r="AF13" s="177"/>
      <c r="AG13" s="177"/>
    </row>
    <row r="14" spans="1:33" ht="15" customHeight="1" thickBot="1" x14ac:dyDescent="0.35">
      <c r="A14" s="189">
        <v>1</v>
      </c>
      <c r="B14" s="189">
        <v>2</v>
      </c>
      <c r="C14" s="189">
        <v>3</v>
      </c>
      <c r="D14" s="189">
        <v>4</v>
      </c>
      <c r="E14" s="189">
        <v>5</v>
      </c>
      <c r="F14" s="189">
        <v>6</v>
      </c>
      <c r="G14" s="189">
        <v>7</v>
      </c>
      <c r="H14" s="189">
        <v>8</v>
      </c>
      <c r="I14" s="189">
        <v>9</v>
      </c>
      <c r="J14" s="189">
        <v>10</v>
      </c>
      <c r="K14" s="189">
        <v>11</v>
      </c>
      <c r="L14" s="189">
        <v>12</v>
      </c>
      <c r="M14" s="189">
        <v>13</v>
      </c>
      <c r="N14" s="189">
        <v>14</v>
      </c>
      <c r="O14" s="189">
        <v>15</v>
      </c>
      <c r="P14" s="189">
        <v>16</v>
      </c>
      <c r="Q14" s="189">
        <v>17</v>
      </c>
      <c r="R14" s="189">
        <v>18</v>
      </c>
      <c r="S14" s="189">
        <v>19</v>
      </c>
      <c r="T14" s="189">
        <v>20</v>
      </c>
      <c r="U14" s="189">
        <v>21</v>
      </c>
      <c r="V14" s="189">
        <v>22</v>
      </c>
      <c r="W14" s="189">
        <v>23</v>
      </c>
      <c r="X14" s="189">
        <v>24</v>
      </c>
      <c r="Y14" s="189">
        <v>25</v>
      </c>
      <c r="Z14" s="189">
        <v>26</v>
      </c>
      <c r="AA14" s="189">
        <v>27</v>
      </c>
      <c r="AB14" s="189">
        <v>28</v>
      </c>
      <c r="AC14" s="189">
        <v>29</v>
      </c>
      <c r="AD14" s="189">
        <v>30</v>
      </c>
      <c r="AE14" s="189">
        <v>31</v>
      </c>
      <c r="AF14" s="189">
        <v>32</v>
      </c>
      <c r="AG14" s="189">
        <v>33</v>
      </c>
    </row>
    <row r="15" spans="1:33" ht="24.95" customHeight="1" thickBot="1" x14ac:dyDescent="0.35">
      <c r="A15" s="190">
        <v>1</v>
      </c>
      <c r="B15" s="191" t="s">
        <v>1</v>
      </c>
      <c r="C15" s="191" t="s">
        <v>156</v>
      </c>
      <c r="D15" s="190">
        <v>17</v>
      </c>
      <c r="E15" s="190">
        <v>1</v>
      </c>
      <c r="F15" s="190">
        <v>21</v>
      </c>
      <c r="G15" s="190">
        <f>29-1</f>
        <v>28</v>
      </c>
      <c r="H15" s="190">
        <v>38</v>
      </c>
      <c r="I15" s="190">
        <f>36-1</f>
        <v>35</v>
      </c>
      <c r="J15" s="190">
        <v>4</v>
      </c>
      <c r="K15" s="190">
        <v>1</v>
      </c>
      <c r="L15" s="190">
        <v>4</v>
      </c>
      <c r="M15" s="190">
        <v>0</v>
      </c>
      <c r="N15" s="190">
        <v>7</v>
      </c>
      <c r="O15" s="190">
        <v>2</v>
      </c>
      <c r="P15" s="190">
        <v>1</v>
      </c>
      <c r="Q15" s="190">
        <v>3</v>
      </c>
      <c r="R15" s="190">
        <v>0</v>
      </c>
      <c r="S15" s="190">
        <v>0</v>
      </c>
      <c r="T15" s="190">
        <v>0</v>
      </c>
      <c r="U15" s="190">
        <v>1</v>
      </c>
      <c r="V15" s="190">
        <v>1</v>
      </c>
      <c r="W15" s="190">
        <v>3</v>
      </c>
      <c r="X15" s="190">
        <v>4</v>
      </c>
      <c r="Y15" s="190">
        <v>0</v>
      </c>
      <c r="Z15" s="190">
        <v>0</v>
      </c>
      <c r="AA15" s="190">
        <v>6</v>
      </c>
      <c r="AB15" s="190">
        <v>5</v>
      </c>
      <c r="AC15" s="190">
        <v>1</v>
      </c>
      <c r="AD15" s="190">
        <v>3</v>
      </c>
      <c r="AE15" s="190">
        <v>0</v>
      </c>
      <c r="AF15" s="190">
        <v>0</v>
      </c>
      <c r="AG15" s="189"/>
    </row>
    <row r="16" spans="1:33" ht="24.95" customHeight="1" thickBot="1" x14ac:dyDescent="0.35">
      <c r="A16" s="190">
        <f>A15+1</f>
        <v>2</v>
      </c>
      <c r="B16" s="191" t="s">
        <v>1</v>
      </c>
      <c r="C16" s="191" t="s">
        <v>157</v>
      </c>
      <c r="D16" s="190">
        <v>16</v>
      </c>
      <c r="E16" s="190">
        <v>1</v>
      </c>
      <c r="F16" s="190">
        <f>'[1]POTENSI WARGA KELOMPOK'!C35</f>
        <v>15</v>
      </c>
      <c r="G16" s="190">
        <f>'[1]POTENSI WARGA KELOMPOK'!D35</f>
        <v>22</v>
      </c>
      <c r="H16" s="190">
        <f>'[1]POTENSI WARGA KELOMPOK'!E35</f>
        <v>37</v>
      </c>
      <c r="I16" s="190">
        <f>'[1]POTENSI WARGA KELOMPOK'!F35</f>
        <v>25</v>
      </c>
      <c r="J16" s="190">
        <f ca="1">'[1]POTENSI WARGA KELOMPOK'!G35</f>
        <v>0</v>
      </c>
      <c r="K16" s="190">
        <f ca="1">'[1]POTENSI WARGA KELOMPOK'!H35</f>
        <v>0</v>
      </c>
      <c r="L16" s="190">
        <f>'[1]POTENSI WARGA KELOMPOK'!I35</f>
        <v>0</v>
      </c>
      <c r="M16" s="190">
        <f>'[1]POTENSI WARGA KELOMPOK'!J35</f>
        <v>0</v>
      </c>
      <c r="N16" s="190">
        <f ca="1">'[1]POTENSI WARGA KELOMPOK'!K35</f>
        <v>8</v>
      </c>
      <c r="O16" s="190">
        <f>'[1]POTENSI WARGA KELOMPOK'!L35</f>
        <v>2</v>
      </c>
      <c r="P16" s="190">
        <f>'[1]POTENSI WARGA KELOMPOK'!M35</f>
        <v>0</v>
      </c>
      <c r="Q16" s="190">
        <f>'[1]POTENSI WARGA KELOMPOK'!N35</f>
        <v>1</v>
      </c>
      <c r="R16" s="190">
        <f>'[1]POTENSI WARGA KELOMPOK'!O35</f>
        <v>2</v>
      </c>
      <c r="S16" s="190">
        <f>'[1]POTENSI WARGA KELOMPOK'!P35</f>
        <v>1</v>
      </c>
      <c r="T16" s="190">
        <f>'[1]POTENSI WARGA KELOMPOK'!Q35</f>
        <v>1</v>
      </c>
      <c r="U16" s="190">
        <f>'[1]POTENSI WARGA KELOMPOK'!R35</f>
        <v>1</v>
      </c>
      <c r="V16" s="190">
        <f>'[1]POTENSI WARGA KELOMPOK'!S35</f>
        <v>0</v>
      </c>
      <c r="W16" s="190">
        <v>9</v>
      </c>
      <c r="X16" s="190">
        <f ca="1">'[1]POTENSI WARGA KELOMPOK'!U35</f>
        <v>2</v>
      </c>
      <c r="Y16" s="190">
        <f>'[1]POTENSI WARGA KELOMPOK'!V35</f>
        <v>0</v>
      </c>
      <c r="Z16" s="190">
        <f>'[1]POTENSI WARGA KELOMPOK'!W35</f>
        <v>0</v>
      </c>
      <c r="AA16" s="190">
        <f ca="1">'[1]POTENSI WARGA KELOMPOK'!X35</f>
        <v>3</v>
      </c>
      <c r="AB16" s="190">
        <f ca="1">'[1]POTENSI WARGA KELOMPOK'!Y35</f>
        <v>6</v>
      </c>
      <c r="AC16" s="190">
        <f>'[1]POTENSI WARGA KELOMPOK'!Z35</f>
        <v>1</v>
      </c>
      <c r="AD16" s="190">
        <f>'[1]POTENSI WARGA KELOMPOK'!AA35</f>
        <v>5</v>
      </c>
      <c r="AE16" s="190">
        <f>'[1]POTENSI WARGA KELOMPOK'!AB35</f>
        <v>0</v>
      </c>
      <c r="AF16" s="190">
        <f>'[1]POTENSI WARGA KELOMPOK'!AC35</f>
        <v>0</v>
      </c>
      <c r="AG16" s="189"/>
    </row>
    <row r="17" spans="1:33" ht="24.95" customHeight="1" thickBot="1" x14ac:dyDescent="0.35">
      <c r="A17" s="190">
        <f t="shared" ref="A17:A29" si="0">A16+1</f>
        <v>3</v>
      </c>
      <c r="B17" s="191" t="s">
        <v>1</v>
      </c>
      <c r="C17" s="191" t="s">
        <v>158</v>
      </c>
      <c r="D17" s="190">
        <v>16</v>
      </c>
      <c r="E17" s="190">
        <v>1</v>
      </c>
      <c r="F17" s="190">
        <v>18</v>
      </c>
      <c r="G17" s="190">
        <v>23</v>
      </c>
      <c r="H17" s="190">
        <v>28</v>
      </c>
      <c r="I17" s="190">
        <v>38</v>
      </c>
      <c r="J17" s="190">
        <v>2</v>
      </c>
      <c r="K17" s="190">
        <v>0</v>
      </c>
      <c r="L17" s="190">
        <v>0</v>
      </c>
      <c r="M17" s="190">
        <v>0</v>
      </c>
      <c r="N17" s="190">
        <v>5</v>
      </c>
      <c r="O17" s="190">
        <v>3</v>
      </c>
      <c r="P17" s="190">
        <v>0</v>
      </c>
      <c r="Q17" s="190">
        <v>1</v>
      </c>
      <c r="R17" s="190">
        <v>0</v>
      </c>
      <c r="S17" s="190">
        <v>0</v>
      </c>
      <c r="T17" s="190">
        <v>0</v>
      </c>
      <c r="U17" s="190">
        <v>1</v>
      </c>
      <c r="V17" s="190">
        <v>0</v>
      </c>
      <c r="W17" s="190">
        <v>6</v>
      </c>
      <c r="X17" s="190">
        <v>5</v>
      </c>
      <c r="Y17" s="190">
        <v>0</v>
      </c>
      <c r="Z17" s="190">
        <v>0</v>
      </c>
      <c r="AA17" s="190">
        <v>5</v>
      </c>
      <c r="AB17" s="190">
        <v>8</v>
      </c>
      <c r="AC17" s="190">
        <v>0</v>
      </c>
      <c r="AD17" s="190">
        <v>1</v>
      </c>
      <c r="AE17" s="190">
        <v>0</v>
      </c>
      <c r="AF17" s="190">
        <v>0</v>
      </c>
      <c r="AG17" s="189"/>
    </row>
    <row r="18" spans="1:33" ht="24.95" customHeight="1" thickBot="1" x14ac:dyDescent="0.35">
      <c r="A18" s="189">
        <f t="shared" si="0"/>
        <v>4</v>
      </c>
      <c r="B18" s="192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</row>
    <row r="19" spans="1:33" ht="24.95" customHeight="1" thickBot="1" x14ac:dyDescent="0.35">
      <c r="A19" s="189">
        <f t="shared" si="0"/>
        <v>5</v>
      </c>
      <c r="B19" s="192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189"/>
      <c r="AF19" s="189"/>
      <c r="AG19" s="189"/>
    </row>
    <row r="20" spans="1:33" ht="24.95" customHeight="1" thickBot="1" x14ac:dyDescent="0.35">
      <c r="A20" s="189">
        <f t="shared" si="0"/>
        <v>6</v>
      </c>
      <c r="B20" s="192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</row>
    <row r="21" spans="1:33" ht="24.95" customHeight="1" thickBot="1" x14ac:dyDescent="0.35">
      <c r="A21" s="189">
        <f t="shared" si="0"/>
        <v>7</v>
      </c>
      <c r="B21" s="192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</row>
    <row r="22" spans="1:33" ht="24.95" customHeight="1" thickBot="1" x14ac:dyDescent="0.35">
      <c r="A22" s="189">
        <f t="shared" si="0"/>
        <v>8</v>
      </c>
      <c r="B22" s="192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</row>
    <row r="23" spans="1:33" ht="24.95" customHeight="1" thickBot="1" x14ac:dyDescent="0.35">
      <c r="A23" s="189">
        <f t="shared" si="0"/>
        <v>9</v>
      </c>
      <c r="B23" s="192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</row>
    <row r="24" spans="1:33" ht="24.95" customHeight="1" thickBot="1" x14ac:dyDescent="0.35">
      <c r="A24" s="189">
        <f t="shared" si="0"/>
        <v>10</v>
      </c>
      <c r="B24" s="192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</row>
    <row r="25" spans="1:33" ht="24.95" customHeight="1" thickBot="1" x14ac:dyDescent="0.35">
      <c r="A25" s="189">
        <f t="shared" si="0"/>
        <v>11</v>
      </c>
      <c r="B25" s="192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</row>
    <row r="26" spans="1:33" ht="24.95" customHeight="1" thickBot="1" x14ac:dyDescent="0.35">
      <c r="A26" s="189">
        <f t="shared" si="0"/>
        <v>12</v>
      </c>
      <c r="B26" s="192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</row>
    <row r="27" spans="1:33" ht="24.95" customHeight="1" thickBot="1" x14ac:dyDescent="0.35">
      <c r="A27" s="189">
        <f t="shared" si="0"/>
        <v>13</v>
      </c>
      <c r="B27" s="192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</row>
    <row r="28" spans="1:33" ht="24.95" customHeight="1" thickBot="1" x14ac:dyDescent="0.35">
      <c r="A28" s="189">
        <f t="shared" si="0"/>
        <v>14</v>
      </c>
      <c r="B28" s="192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9"/>
      <c r="AF28" s="189"/>
      <c r="AG28" s="189"/>
    </row>
    <row r="29" spans="1:33" ht="24.95" customHeight="1" thickBot="1" x14ac:dyDescent="0.35">
      <c r="A29" s="189">
        <f t="shared" si="0"/>
        <v>15</v>
      </c>
      <c r="B29" s="192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  <c r="AC29" s="189"/>
      <c r="AD29" s="189"/>
      <c r="AE29" s="189"/>
      <c r="AF29" s="189"/>
      <c r="AG29" s="189"/>
    </row>
    <row r="30" spans="1:33" ht="24.95" customHeight="1" thickBot="1" x14ac:dyDescent="0.35">
      <c r="A30" s="193" t="s">
        <v>0</v>
      </c>
      <c r="B30" s="194"/>
      <c r="C30" s="195">
        <f t="shared" ref="C30:AG30" si="1">SUM(C15:C29)</f>
        <v>0</v>
      </c>
      <c r="D30" s="195">
        <f t="shared" si="1"/>
        <v>49</v>
      </c>
      <c r="E30" s="195">
        <f t="shared" si="1"/>
        <v>3</v>
      </c>
      <c r="F30" s="195">
        <f t="shared" si="1"/>
        <v>54</v>
      </c>
      <c r="G30" s="195">
        <f t="shared" si="1"/>
        <v>73</v>
      </c>
      <c r="H30" s="195">
        <f t="shared" si="1"/>
        <v>103</v>
      </c>
      <c r="I30" s="195">
        <f t="shared" si="1"/>
        <v>98</v>
      </c>
      <c r="J30" s="195">
        <f t="shared" ca="1" si="1"/>
        <v>6</v>
      </c>
      <c r="K30" s="195">
        <f t="shared" ca="1" si="1"/>
        <v>1</v>
      </c>
      <c r="L30" s="195">
        <f t="shared" si="1"/>
        <v>4</v>
      </c>
      <c r="M30" s="195">
        <f t="shared" si="1"/>
        <v>0</v>
      </c>
      <c r="N30" s="195">
        <f t="shared" ca="1" si="1"/>
        <v>20</v>
      </c>
      <c r="O30" s="195">
        <f t="shared" si="1"/>
        <v>7</v>
      </c>
      <c r="P30" s="195">
        <f t="shared" si="1"/>
        <v>1</v>
      </c>
      <c r="Q30" s="195">
        <f t="shared" si="1"/>
        <v>5</v>
      </c>
      <c r="R30" s="195">
        <f t="shared" si="1"/>
        <v>2</v>
      </c>
      <c r="S30" s="195">
        <f t="shared" si="1"/>
        <v>1</v>
      </c>
      <c r="T30" s="195">
        <f t="shared" si="1"/>
        <v>1</v>
      </c>
      <c r="U30" s="195">
        <f t="shared" si="1"/>
        <v>3</v>
      </c>
      <c r="V30" s="195">
        <f t="shared" si="1"/>
        <v>1</v>
      </c>
      <c r="W30" s="195">
        <f t="shared" si="1"/>
        <v>18</v>
      </c>
      <c r="X30" s="195">
        <f t="shared" ca="1" si="1"/>
        <v>11</v>
      </c>
      <c r="Y30" s="195">
        <f t="shared" si="1"/>
        <v>0</v>
      </c>
      <c r="Z30" s="195">
        <f t="shared" si="1"/>
        <v>0</v>
      </c>
      <c r="AA30" s="195">
        <f t="shared" ca="1" si="1"/>
        <v>14</v>
      </c>
      <c r="AB30" s="195">
        <f t="shared" ca="1" si="1"/>
        <v>19</v>
      </c>
      <c r="AC30" s="195">
        <f t="shared" si="1"/>
        <v>2</v>
      </c>
      <c r="AD30" s="195">
        <f t="shared" si="1"/>
        <v>9</v>
      </c>
      <c r="AE30" s="195">
        <f t="shared" si="1"/>
        <v>0</v>
      </c>
      <c r="AF30" s="195">
        <f t="shared" si="1"/>
        <v>0</v>
      </c>
      <c r="AG30" s="195">
        <f t="shared" si="1"/>
        <v>0</v>
      </c>
    </row>
  </sheetData>
  <mergeCells count="40">
    <mergeCell ref="V12:V13"/>
    <mergeCell ref="AE12:AE13"/>
    <mergeCell ref="AF12:AF13"/>
    <mergeCell ref="A30:B30"/>
    <mergeCell ref="P12:P13"/>
    <mergeCell ref="Q12:Q13"/>
    <mergeCell ref="R12:R13"/>
    <mergeCell ref="S12:S13"/>
    <mergeCell ref="T12:T13"/>
    <mergeCell ref="U12:U13"/>
    <mergeCell ref="AE10:AF11"/>
    <mergeCell ref="AG10:AG13"/>
    <mergeCell ref="H11:H13"/>
    <mergeCell ref="I11:I13"/>
    <mergeCell ref="J11:J13"/>
    <mergeCell ref="K11:K13"/>
    <mergeCell ref="L11:M12"/>
    <mergeCell ref="W11:W13"/>
    <mergeCell ref="X11:X13"/>
    <mergeCell ref="Y11:Z12"/>
    <mergeCell ref="H10:I10"/>
    <mergeCell ref="J10:M10"/>
    <mergeCell ref="N10:N13"/>
    <mergeCell ref="O10:V11"/>
    <mergeCell ref="W10:Z10"/>
    <mergeCell ref="AA10:AD10"/>
    <mergeCell ref="AA11:AA13"/>
    <mergeCell ref="AB11:AB13"/>
    <mergeCell ref="AC11:AD12"/>
    <mergeCell ref="O12:O13"/>
    <mergeCell ref="A1:AG1"/>
    <mergeCell ref="A2:AG2"/>
    <mergeCell ref="R8:U8"/>
    <mergeCell ref="A10:A13"/>
    <mergeCell ref="B10:B13"/>
    <mergeCell ref="C10:C13"/>
    <mergeCell ref="D10:D13"/>
    <mergeCell ref="E10:E13"/>
    <mergeCell ref="F10:F13"/>
    <mergeCell ref="G10:G13"/>
  </mergeCells>
  <pageMargins left="0.43307086614173229" right="0.23622047244094491" top="0.74803149606299213" bottom="0.74803149606299213" header="0.31496062992125984" footer="0.31496062992125984"/>
  <pageSetup paperSize="149" scale="72" fitToHeight="0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11A9-EFE2-4553-99E6-BEE6ADCA69C5}">
  <sheetPr>
    <pageSetUpPr fitToPage="1"/>
  </sheetPr>
  <dimension ref="A1:S35"/>
  <sheetViews>
    <sheetView view="pageBreakPreview" topLeftCell="A19" zoomScaleNormal="100" zoomScaleSheetLayoutView="100" workbookViewId="0">
      <selection activeCell="L26" sqref="L26"/>
    </sheetView>
  </sheetViews>
  <sheetFormatPr defaultColWidth="7.77734375" defaultRowHeight="15" x14ac:dyDescent="0.3"/>
  <cols>
    <col min="1" max="2" width="10.6640625" style="120" customWidth="1"/>
    <col min="3" max="3" width="3.6640625" style="120" bestFit="1" customWidth="1"/>
    <col min="4" max="4" width="1.77734375" style="120" customWidth="1"/>
    <col min="5" max="5" width="3.6640625" style="120" bestFit="1" customWidth="1"/>
    <col min="6" max="6" width="1.77734375" style="120" customWidth="1"/>
    <col min="7" max="7" width="3.6640625" style="120" bestFit="1" customWidth="1"/>
    <col min="8" max="8" width="1.77734375" style="120" customWidth="1"/>
    <col min="9" max="9" width="5" style="126" bestFit="1" customWidth="1"/>
    <col min="10" max="10" width="3.6640625" style="120" bestFit="1" customWidth="1"/>
    <col min="11" max="11" width="1.77734375" style="120" customWidth="1"/>
    <col min="12" max="12" width="3.6640625" style="120" bestFit="1" customWidth="1"/>
    <col min="13" max="13" width="1.77734375" style="120" customWidth="1"/>
    <col min="14" max="14" width="3.6640625" style="120" bestFit="1" customWidth="1"/>
    <col min="15" max="15" width="1.77734375" style="120" customWidth="1"/>
    <col min="16" max="16" width="5" style="126" bestFit="1" customWidth="1"/>
    <col min="17" max="16384" width="7.77734375" style="120"/>
  </cols>
  <sheetData>
    <row r="1" spans="1:18" ht="21" x14ac:dyDescent="0.35">
      <c r="A1" s="117" t="s">
        <v>105</v>
      </c>
      <c r="B1" s="118"/>
      <c r="C1" s="118"/>
      <c r="D1" s="118"/>
      <c r="E1" s="118"/>
      <c r="F1" s="118"/>
      <c r="G1" s="118"/>
      <c r="H1" s="118"/>
      <c r="I1" s="119"/>
      <c r="J1" s="118"/>
      <c r="K1" s="118"/>
      <c r="L1" s="118"/>
      <c r="M1" s="118"/>
      <c r="N1" s="118"/>
      <c r="O1" s="118"/>
      <c r="P1" s="119"/>
      <c r="Q1" s="118"/>
      <c r="R1" s="118"/>
    </row>
    <row r="2" spans="1:18" ht="26.25" customHeight="1" x14ac:dyDescent="0.35">
      <c r="A2" s="121" t="s">
        <v>106</v>
      </c>
      <c r="B2" s="118"/>
      <c r="C2" s="118"/>
      <c r="D2" s="118"/>
      <c r="E2" s="118"/>
      <c r="F2" s="118"/>
      <c r="G2" s="118"/>
      <c r="H2" s="118"/>
      <c r="I2" s="119"/>
      <c r="J2" s="118"/>
      <c r="K2" s="118"/>
      <c r="L2" s="118"/>
      <c r="M2" s="118"/>
      <c r="N2" s="118"/>
      <c r="O2" s="118"/>
      <c r="P2" s="119"/>
      <c r="Q2" s="118"/>
      <c r="R2" s="118"/>
    </row>
    <row r="4" spans="1:18" ht="18.75" x14ac:dyDescent="0.3">
      <c r="A4" s="122" t="s">
        <v>52</v>
      </c>
      <c r="B4" s="123" t="s">
        <v>107</v>
      </c>
      <c r="C4" s="123"/>
      <c r="D4" s="123"/>
      <c r="E4" s="124"/>
      <c r="F4" s="124"/>
      <c r="G4" s="124"/>
      <c r="H4" s="124"/>
      <c r="I4" s="125"/>
      <c r="J4" s="124"/>
      <c r="K4" s="124"/>
      <c r="M4" s="124"/>
      <c r="N4" s="124"/>
      <c r="O4" s="124"/>
      <c r="P4" s="125"/>
    </row>
    <row r="5" spans="1:18" ht="18.75" x14ac:dyDescent="0.3">
      <c r="A5" s="122" t="s">
        <v>54</v>
      </c>
      <c r="B5" s="123" t="s">
        <v>55</v>
      </c>
      <c r="C5" s="123"/>
      <c r="D5" s="123"/>
    </row>
    <row r="6" spans="1:18" ht="18.75" x14ac:dyDescent="0.3">
      <c r="A6" s="122" t="s">
        <v>56</v>
      </c>
      <c r="B6" s="123" t="s">
        <v>108</v>
      </c>
      <c r="C6" s="123"/>
      <c r="D6" s="123"/>
    </row>
    <row r="7" spans="1:18" ht="18.75" x14ac:dyDescent="0.3">
      <c r="A7" s="122" t="s">
        <v>58</v>
      </c>
      <c r="B7" s="121" t="s">
        <v>109</v>
      </c>
      <c r="C7" s="121"/>
      <c r="D7" s="121"/>
    </row>
    <row r="8" spans="1:18" ht="18.75" x14ac:dyDescent="0.3">
      <c r="A8" s="122" t="s">
        <v>59</v>
      </c>
      <c r="B8" s="121" t="s">
        <v>110</v>
      </c>
      <c r="C8" s="121"/>
      <c r="D8" s="121"/>
    </row>
    <row r="9" spans="1:18" ht="18.75" x14ac:dyDescent="0.3">
      <c r="A9" s="122" t="s">
        <v>61</v>
      </c>
      <c r="B9" s="121" t="s">
        <v>111</v>
      </c>
      <c r="C9" s="121"/>
      <c r="D9" s="121"/>
    </row>
    <row r="11" spans="1:18" ht="19.5" thickBot="1" x14ac:dyDescent="0.35">
      <c r="A11" s="127" t="s">
        <v>112</v>
      </c>
      <c r="B11" s="128">
        <f>'[1]DATA DAWIS'!B6</f>
        <v>46143</v>
      </c>
      <c r="C11" s="128"/>
      <c r="D11" s="128"/>
    </row>
    <row r="12" spans="1:18" ht="30" customHeight="1" x14ac:dyDescent="0.3">
      <c r="A12" s="129" t="s">
        <v>113</v>
      </c>
      <c r="B12" s="130"/>
      <c r="C12" s="131" t="s">
        <v>2</v>
      </c>
      <c r="D12" s="132"/>
      <c r="E12" s="132"/>
      <c r="F12" s="132"/>
      <c r="G12" s="132"/>
      <c r="H12" s="132"/>
      <c r="I12" s="133"/>
      <c r="J12" s="134" t="s">
        <v>114</v>
      </c>
      <c r="K12" s="135"/>
      <c r="L12" s="135"/>
      <c r="M12" s="135"/>
      <c r="N12" s="135"/>
      <c r="O12" s="135"/>
      <c r="P12" s="136"/>
      <c r="Q12" s="137" t="s">
        <v>69</v>
      </c>
      <c r="R12" s="138" t="s">
        <v>70</v>
      </c>
    </row>
    <row r="13" spans="1:18" ht="35.1" customHeight="1" x14ac:dyDescent="0.3">
      <c r="A13" s="139" t="s">
        <v>115</v>
      </c>
      <c r="B13" s="140"/>
      <c r="C13" s="141">
        <v>4</v>
      </c>
      <c r="D13" s="142" t="s">
        <v>116</v>
      </c>
      <c r="E13" s="143">
        <f ca="1">'[1]PROFIL NURUL'!E37</f>
        <v>0</v>
      </c>
      <c r="F13" s="142" t="s">
        <v>116</v>
      </c>
      <c r="G13" s="143">
        <v>2</v>
      </c>
      <c r="H13" s="144" t="s">
        <v>117</v>
      </c>
      <c r="I13" s="145">
        <f ca="1">C13+E13+G13</f>
        <v>6</v>
      </c>
      <c r="J13" s="141">
        <v>1</v>
      </c>
      <c r="K13" s="142" t="s">
        <v>116</v>
      </c>
      <c r="L13" s="143">
        <f ca="1">'[1]PROFIL NURUL'!F37</f>
        <v>0</v>
      </c>
      <c r="M13" s="142" t="s">
        <v>116</v>
      </c>
      <c r="N13" s="143">
        <v>0</v>
      </c>
      <c r="O13" s="144" t="s">
        <v>117</v>
      </c>
      <c r="P13" s="146">
        <f ca="1">J13+L13+N13</f>
        <v>1</v>
      </c>
    </row>
    <row r="14" spans="1:18" ht="35.1" customHeight="1" x14ac:dyDescent="0.3">
      <c r="A14" s="147" t="s">
        <v>118</v>
      </c>
      <c r="B14" s="148"/>
      <c r="C14" s="141">
        <v>5</v>
      </c>
      <c r="D14" s="142" t="s">
        <v>116</v>
      </c>
      <c r="E14" s="143">
        <f ca="1">'[1]PROFIL NURUL'!G37</f>
        <v>4</v>
      </c>
      <c r="F14" s="142" t="s">
        <v>116</v>
      </c>
      <c r="G14" s="143">
        <v>1</v>
      </c>
      <c r="H14" s="144" t="s">
        <v>117</v>
      </c>
      <c r="I14" s="145">
        <f t="shared" ref="I14:I28" ca="1" si="0">C14+E14+G14</f>
        <v>10</v>
      </c>
      <c r="J14" s="141">
        <v>4</v>
      </c>
      <c r="K14" s="142" t="s">
        <v>116</v>
      </c>
      <c r="L14" s="143">
        <f ca="1">'[1]PROFIL NURUL'!H37</f>
        <v>2</v>
      </c>
      <c r="M14" s="142" t="s">
        <v>116</v>
      </c>
      <c r="N14" s="143">
        <v>3</v>
      </c>
      <c r="O14" s="144" t="s">
        <v>117</v>
      </c>
      <c r="P14" s="146">
        <f t="shared" ref="P14:P28" ca="1" si="1">J14+L14+N14</f>
        <v>9</v>
      </c>
    </row>
    <row r="15" spans="1:18" ht="35.1" customHeight="1" x14ac:dyDescent="0.3">
      <c r="A15" s="139" t="s">
        <v>119</v>
      </c>
      <c r="B15" s="140"/>
      <c r="C15" s="141">
        <v>1</v>
      </c>
      <c r="D15" s="142" t="s">
        <v>116</v>
      </c>
      <c r="E15" s="143">
        <f ca="1">'[1]PROFIL NURUL'!I37</f>
        <v>4</v>
      </c>
      <c r="F15" s="142" t="s">
        <v>116</v>
      </c>
      <c r="G15" s="143">
        <v>1</v>
      </c>
      <c r="H15" s="144" t="s">
        <v>117</v>
      </c>
      <c r="I15" s="145">
        <f t="shared" ca="1" si="0"/>
        <v>6</v>
      </c>
      <c r="J15" s="141">
        <v>4</v>
      </c>
      <c r="K15" s="142" t="s">
        <v>116</v>
      </c>
      <c r="L15" s="143">
        <f ca="1">'[1]PROFIL NURUL'!J37</f>
        <v>1</v>
      </c>
      <c r="M15" s="142" t="s">
        <v>116</v>
      </c>
      <c r="N15" s="143">
        <v>2</v>
      </c>
      <c r="O15" s="144" t="s">
        <v>117</v>
      </c>
      <c r="P15" s="146">
        <f t="shared" ca="1" si="1"/>
        <v>7</v>
      </c>
    </row>
    <row r="16" spans="1:18" ht="35.1" customHeight="1" x14ac:dyDescent="0.3">
      <c r="A16" s="139" t="s">
        <v>120</v>
      </c>
      <c r="B16" s="140"/>
      <c r="C16" s="141">
        <v>0</v>
      </c>
      <c r="D16" s="142" t="s">
        <v>116</v>
      </c>
      <c r="E16" s="143">
        <v>6</v>
      </c>
      <c r="F16" s="142" t="s">
        <v>116</v>
      </c>
      <c r="G16" s="143">
        <v>5</v>
      </c>
      <c r="H16" s="144" t="s">
        <v>117</v>
      </c>
      <c r="I16" s="145">
        <f t="shared" si="0"/>
        <v>11</v>
      </c>
      <c r="J16" s="141">
        <v>0</v>
      </c>
      <c r="K16" s="142" t="s">
        <v>116</v>
      </c>
      <c r="L16" s="143">
        <v>2</v>
      </c>
      <c r="M16" s="142" t="s">
        <v>116</v>
      </c>
      <c r="N16" s="143">
        <v>3</v>
      </c>
      <c r="O16" s="144" t="s">
        <v>117</v>
      </c>
      <c r="P16" s="146">
        <f t="shared" si="1"/>
        <v>5</v>
      </c>
    </row>
    <row r="17" spans="1:19" ht="35.1" customHeight="1" x14ac:dyDescent="0.3">
      <c r="A17" s="139" t="s">
        <v>121</v>
      </c>
      <c r="B17" s="140"/>
      <c r="C17" s="141">
        <v>3</v>
      </c>
      <c r="D17" s="142" t="s">
        <v>116</v>
      </c>
      <c r="E17" s="143">
        <v>3</v>
      </c>
      <c r="F17" s="142" t="s">
        <v>116</v>
      </c>
      <c r="G17" s="143">
        <v>2</v>
      </c>
      <c r="H17" s="144" t="s">
        <v>117</v>
      </c>
      <c r="I17" s="145">
        <f t="shared" si="0"/>
        <v>8</v>
      </c>
      <c r="J17" s="141">
        <v>1</v>
      </c>
      <c r="K17" s="142" t="s">
        <v>116</v>
      </c>
      <c r="L17" s="143">
        <v>2</v>
      </c>
      <c r="M17" s="142" t="s">
        <v>116</v>
      </c>
      <c r="N17" s="143">
        <v>3</v>
      </c>
      <c r="O17" s="144" t="s">
        <v>117</v>
      </c>
      <c r="P17" s="146">
        <f t="shared" si="1"/>
        <v>6</v>
      </c>
    </row>
    <row r="18" spans="1:19" ht="35.1" customHeight="1" x14ac:dyDescent="0.3">
      <c r="A18" s="139" t="s">
        <v>122</v>
      </c>
      <c r="B18" s="140"/>
      <c r="C18" s="141">
        <v>8</v>
      </c>
      <c r="D18" s="142" t="s">
        <v>116</v>
      </c>
      <c r="E18" s="143">
        <f ca="1">'[1]PROFIL NURUL'!O37</f>
        <v>2</v>
      </c>
      <c r="F18" s="142" t="s">
        <v>116</v>
      </c>
      <c r="G18" s="143">
        <v>4</v>
      </c>
      <c r="H18" s="144" t="s">
        <v>117</v>
      </c>
      <c r="I18" s="145">
        <f t="shared" ca="1" si="0"/>
        <v>14</v>
      </c>
      <c r="J18" s="141">
        <v>2</v>
      </c>
      <c r="K18" s="142" t="s">
        <v>116</v>
      </c>
      <c r="L18" s="143">
        <f ca="1">'[1]PROFIL NURUL'!P37</f>
        <v>0</v>
      </c>
      <c r="M18" s="142" t="s">
        <v>116</v>
      </c>
      <c r="N18" s="143">
        <v>1</v>
      </c>
      <c r="O18" s="144" t="s">
        <v>117</v>
      </c>
      <c r="P18" s="146">
        <f t="shared" ca="1" si="1"/>
        <v>3</v>
      </c>
    </row>
    <row r="19" spans="1:19" ht="35.1" customHeight="1" x14ac:dyDescent="0.3">
      <c r="A19" s="139" t="s">
        <v>123</v>
      </c>
      <c r="B19" s="140"/>
      <c r="C19" s="141">
        <v>2</v>
      </c>
      <c r="D19" s="142" t="s">
        <v>116</v>
      </c>
      <c r="E19" s="143">
        <f ca="1">'[1]PROFIL NURUL'!Q37</f>
        <v>0</v>
      </c>
      <c r="F19" s="142" t="s">
        <v>116</v>
      </c>
      <c r="G19" s="143">
        <v>1</v>
      </c>
      <c r="H19" s="144" t="s">
        <v>117</v>
      </c>
      <c r="I19" s="145">
        <f t="shared" ca="1" si="0"/>
        <v>3</v>
      </c>
      <c r="J19" s="141">
        <v>5</v>
      </c>
      <c r="K19" s="142" t="s">
        <v>116</v>
      </c>
      <c r="L19" s="143">
        <f ca="1">'[1]PROFIL NURUL'!R37</f>
        <v>0</v>
      </c>
      <c r="M19" s="142" t="s">
        <v>116</v>
      </c>
      <c r="N19" s="143">
        <v>3</v>
      </c>
      <c r="O19" s="144" t="s">
        <v>117</v>
      </c>
      <c r="P19" s="146">
        <f t="shared" ca="1" si="1"/>
        <v>8</v>
      </c>
    </row>
    <row r="20" spans="1:19" ht="35.1" customHeight="1" x14ac:dyDescent="0.3">
      <c r="A20" s="139" t="s">
        <v>124</v>
      </c>
      <c r="B20" s="140"/>
      <c r="C20" s="141">
        <v>2</v>
      </c>
      <c r="D20" s="142" t="s">
        <v>116</v>
      </c>
      <c r="E20" s="143">
        <v>3</v>
      </c>
      <c r="F20" s="142" t="s">
        <v>116</v>
      </c>
      <c r="G20" s="143">
        <v>3</v>
      </c>
      <c r="H20" s="144" t="s">
        <v>117</v>
      </c>
      <c r="I20" s="145">
        <f t="shared" si="0"/>
        <v>8</v>
      </c>
      <c r="J20" s="141">
        <v>3</v>
      </c>
      <c r="K20" s="142" t="s">
        <v>116</v>
      </c>
      <c r="L20" s="143">
        <f ca="1">'[1]PROFIL NURUL'!T37</f>
        <v>2</v>
      </c>
      <c r="M20" s="142" t="s">
        <v>116</v>
      </c>
      <c r="N20" s="143">
        <v>6</v>
      </c>
      <c r="O20" s="144" t="s">
        <v>117</v>
      </c>
      <c r="P20" s="146">
        <f t="shared" ca="1" si="1"/>
        <v>11</v>
      </c>
    </row>
    <row r="21" spans="1:19" ht="35.1" customHeight="1" x14ac:dyDescent="0.3">
      <c r="A21" s="139" t="s">
        <v>125</v>
      </c>
      <c r="B21" s="140"/>
      <c r="C21" s="141">
        <v>4</v>
      </c>
      <c r="D21" s="142" t="s">
        <v>116</v>
      </c>
      <c r="E21" s="143">
        <v>2</v>
      </c>
      <c r="F21" s="142" t="s">
        <v>116</v>
      </c>
      <c r="G21" s="143">
        <v>0</v>
      </c>
      <c r="H21" s="144" t="s">
        <v>117</v>
      </c>
      <c r="I21" s="145">
        <f t="shared" si="0"/>
        <v>6</v>
      </c>
      <c r="J21" s="141">
        <v>1</v>
      </c>
      <c r="K21" s="142" t="s">
        <v>116</v>
      </c>
      <c r="L21" s="143">
        <v>6</v>
      </c>
      <c r="M21" s="142" t="s">
        <v>116</v>
      </c>
      <c r="N21" s="143">
        <v>0</v>
      </c>
      <c r="O21" s="144" t="s">
        <v>117</v>
      </c>
      <c r="P21" s="146">
        <f t="shared" si="1"/>
        <v>7</v>
      </c>
    </row>
    <row r="22" spans="1:19" ht="35.1" customHeight="1" x14ac:dyDescent="0.3">
      <c r="A22" s="139" t="s">
        <v>126</v>
      </c>
      <c r="B22" s="140"/>
      <c r="C22" s="141">
        <v>0</v>
      </c>
      <c r="D22" s="142" t="s">
        <v>116</v>
      </c>
      <c r="E22" s="143">
        <f ca="1">'[1]PROFIL NURUL'!W37</f>
        <v>4</v>
      </c>
      <c r="F22" s="142" t="s">
        <v>116</v>
      </c>
      <c r="G22" s="143">
        <v>3</v>
      </c>
      <c r="H22" s="144" t="s">
        <v>117</v>
      </c>
      <c r="I22" s="145">
        <f t="shared" ca="1" si="0"/>
        <v>7</v>
      </c>
      <c r="J22" s="141">
        <v>2</v>
      </c>
      <c r="K22" s="142" t="s">
        <v>116</v>
      </c>
      <c r="L22" s="143">
        <v>0</v>
      </c>
      <c r="M22" s="142" t="s">
        <v>116</v>
      </c>
      <c r="N22" s="143">
        <v>3</v>
      </c>
      <c r="O22" s="144" t="s">
        <v>117</v>
      </c>
      <c r="P22" s="146">
        <f t="shared" si="1"/>
        <v>5</v>
      </c>
    </row>
    <row r="23" spans="1:19" ht="35.1" customHeight="1" x14ac:dyDescent="0.3">
      <c r="A23" s="139" t="s">
        <v>127</v>
      </c>
      <c r="B23" s="140"/>
      <c r="C23" s="141">
        <v>2</v>
      </c>
      <c r="D23" s="142" t="s">
        <v>116</v>
      </c>
      <c r="E23" s="143">
        <f ca="1">'[1]PROFIL NURUL'!Y37</f>
        <v>4</v>
      </c>
      <c r="F23" s="142" t="s">
        <v>116</v>
      </c>
      <c r="G23" s="143">
        <v>1</v>
      </c>
      <c r="H23" s="144" t="s">
        <v>117</v>
      </c>
      <c r="I23" s="145">
        <f t="shared" ca="1" si="0"/>
        <v>7</v>
      </c>
      <c r="J23" s="141">
        <v>5</v>
      </c>
      <c r="K23" s="142" t="s">
        <v>116</v>
      </c>
      <c r="L23" s="143">
        <f ca="1">'[1]PROFIL NURUL'!Z37</f>
        <v>3</v>
      </c>
      <c r="M23" s="142" t="s">
        <v>116</v>
      </c>
      <c r="N23" s="143">
        <v>6</v>
      </c>
      <c r="O23" s="144" t="s">
        <v>117</v>
      </c>
      <c r="P23" s="146">
        <f t="shared" ca="1" si="1"/>
        <v>14</v>
      </c>
    </row>
    <row r="24" spans="1:19" ht="35.1" customHeight="1" x14ac:dyDescent="0.3">
      <c r="A24" s="139" t="s">
        <v>128</v>
      </c>
      <c r="B24" s="140"/>
      <c r="C24" s="141">
        <v>1</v>
      </c>
      <c r="D24" s="142" t="s">
        <v>116</v>
      </c>
      <c r="E24" s="143">
        <f ca="1">'[1]PROFIL NURUL'!AA37</f>
        <v>2</v>
      </c>
      <c r="F24" s="142" t="s">
        <v>116</v>
      </c>
      <c r="G24" s="143">
        <v>0</v>
      </c>
      <c r="H24" s="144" t="s">
        <v>117</v>
      </c>
      <c r="I24" s="145">
        <f t="shared" ca="1" si="0"/>
        <v>3</v>
      </c>
      <c r="J24" s="141">
        <v>2</v>
      </c>
      <c r="K24" s="142" t="s">
        <v>116</v>
      </c>
      <c r="L24" s="143">
        <f ca="1">'[1]PROFIL NURUL'!AB37</f>
        <v>1</v>
      </c>
      <c r="M24" s="142" t="s">
        <v>116</v>
      </c>
      <c r="N24" s="143">
        <v>0</v>
      </c>
      <c r="O24" s="144" t="s">
        <v>117</v>
      </c>
      <c r="P24" s="146">
        <f t="shared" ca="1" si="1"/>
        <v>3</v>
      </c>
    </row>
    <row r="25" spans="1:19" ht="35.1" customHeight="1" x14ac:dyDescent="0.3">
      <c r="A25" s="139" t="s">
        <v>129</v>
      </c>
      <c r="B25" s="140"/>
      <c r="C25" s="141">
        <v>2</v>
      </c>
      <c r="D25" s="142" t="s">
        <v>116</v>
      </c>
      <c r="E25" s="143">
        <f ca="1">'[1]PROFIL NURUL'!AC37</f>
        <v>1</v>
      </c>
      <c r="F25" s="142" t="s">
        <v>116</v>
      </c>
      <c r="G25" s="143">
        <v>3</v>
      </c>
      <c r="H25" s="144" t="s">
        <v>117</v>
      </c>
      <c r="I25" s="145">
        <f t="shared" ca="1" si="0"/>
        <v>6</v>
      </c>
      <c r="J25" s="141">
        <v>3</v>
      </c>
      <c r="K25" s="142" t="s">
        <v>116</v>
      </c>
      <c r="L25" s="143">
        <f ca="1">'[1]PROFIL NURUL'!AD37</f>
        <v>1</v>
      </c>
      <c r="M25" s="142" t="s">
        <v>116</v>
      </c>
      <c r="N25" s="143">
        <v>2</v>
      </c>
      <c r="O25" s="144" t="s">
        <v>117</v>
      </c>
      <c r="P25" s="146">
        <f t="shared" ca="1" si="1"/>
        <v>6</v>
      </c>
    </row>
    <row r="26" spans="1:19" ht="35.1" customHeight="1" x14ac:dyDescent="0.3">
      <c r="A26" s="139" t="s">
        <v>130</v>
      </c>
      <c r="B26" s="140"/>
      <c r="C26" s="141">
        <v>1</v>
      </c>
      <c r="D26" s="142" t="s">
        <v>116</v>
      </c>
      <c r="E26" s="143">
        <f ca="1">'[1]PROFIL NURUL'!AE37</f>
        <v>1</v>
      </c>
      <c r="F26" s="142" t="s">
        <v>116</v>
      </c>
      <c r="G26" s="143">
        <v>1</v>
      </c>
      <c r="H26" s="144" t="s">
        <v>117</v>
      </c>
      <c r="I26" s="145">
        <f t="shared" ca="1" si="0"/>
        <v>3</v>
      </c>
      <c r="J26" s="141">
        <v>0</v>
      </c>
      <c r="K26" s="142" t="s">
        <v>116</v>
      </c>
      <c r="L26" s="143">
        <f ca="1">'[1]PROFIL NURUL'!AF37</f>
        <v>2</v>
      </c>
      <c r="M26" s="142" t="s">
        <v>116</v>
      </c>
      <c r="N26" s="143">
        <v>2</v>
      </c>
      <c r="O26" s="144" t="s">
        <v>117</v>
      </c>
      <c r="P26" s="146">
        <f t="shared" ca="1" si="1"/>
        <v>4</v>
      </c>
    </row>
    <row r="27" spans="1:19" ht="35.1" customHeight="1" x14ac:dyDescent="0.3">
      <c r="A27" s="139" t="s">
        <v>131</v>
      </c>
      <c r="B27" s="140"/>
      <c r="C27" s="141">
        <v>2</v>
      </c>
      <c r="D27" s="142" t="s">
        <v>116</v>
      </c>
      <c r="E27" s="143">
        <f ca="1">'[1]PROFIL NURUL'!AG37</f>
        <v>0</v>
      </c>
      <c r="F27" s="142" t="s">
        <v>116</v>
      </c>
      <c r="G27" s="143">
        <v>1</v>
      </c>
      <c r="H27" s="144" t="s">
        <v>117</v>
      </c>
      <c r="I27" s="145">
        <f t="shared" ca="1" si="0"/>
        <v>3</v>
      </c>
      <c r="J27" s="141">
        <v>1</v>
      </c>
      <c r="K27" s="142" t="s">
        <v>116</v>
      </c>
      <c r="L27" s="143">
        <f ca="1">'[1]PROFIL NURUL'!AH37</f>
        <v>2</v>
      </c>
      <c r="M27" s="142" t="s">
        <v>116</v>
      </c>
      <c r="N27" s="143">
        <v>1</v>
      </c>
      <c r="O27" s="144" t="s">
        <v>117</v>
      </c>
      <c r="P27" s="146">
        <f t="shared" ca="1" si="1"/>
        <v>4</v>
      </c>
    </row>
    <row r="28" spans="1:19" ht="35.1" customHeight="1" thickBot="1" x14ac:dyDescent="0.35">
      <c r="A28" s="149" t="s">
        <v>132</v>
      </c>
      <c r="B28" s="150"/>
      <c r="C28" s="151">
        <v>1</v>
      </c>
      <c r="D28" s="152" t="s">
        <v>116</v>
      </c>
      <c r="E28" s="153">
        <f ca="1">'[1]PROFIL NURUL'!AI37</f>
        <v>1</v>
      </c>
      <c r="F28" s="152" t="s">
        <v>116</v>
      </c>
      <c r="G28" s="153">
        <v>0</v>
      </c>
      <c r="H28" s="154" t="s">
        <v>117</v>
      </c>
      <c r="I28" s="155">
        <f t="shared" ca="1" si="0"/>
        <v>2</v>
      </c>
      <c r="J28" s="156">
        <f>2-1</f>
        <v>1</v>
      </c>
      <c r="K28" s="157" t="s">
        <v>116</v>
      </c>
      <c r="L28" s="158">
        <f ca="1">'[1]PROFIL NURUL'!AJ37</f>
        <v>1</v>
      </c>
      <c r="M28" s="157" t="s">
        <v>116</v>
      </c>
      <c r="N28" s="158">
        <v>3</v>
      </c>
      <c r="O28" s="159" t="s">
        <v>117</v>
      </c>
      <c r="P28" s="160">
        <f t="shared" ca="1" si="1"/>
        <v>5</v>
      </c>
    </row>
    <row r="29" spans="1:19" ht="35.1" customHeight="1" thickBot="1" x14ac:dyDescent="0.35">
      <c r="A29" s="161" t="s">
        <v>29</v>
      </c>
      <c r="B29" s="162"/>
      <c r="C29" s="163">
        <f>SUM(C13:C28)</f>
        <v>38</v>
      </c>
      <c r="D29" s="164" t="s">
        <v>116</v>
      </c>
      <c r="E29" s="164">
        <f ca="1">SUM(E13:E28)</f>
        <v>37</v>
      </c>
      <c r="F29" s="164" t="s">
        <v>116</v>
      </c>
      <c r="G29" s="164">
        <f>SUM(G13:G28)</f>
        <v>28</v>
      </c>
      <c r="H29" s="164" t="s">
        <v>117</v>
      </c>
      <c r="I29" s="165">
        <f ca="1">SUM(I13:I28)</f>
        <v>103</v>
      </c>
      <c r="J29" s="163">
        <f>SUM(J13:J28)</f>
        <v>35</v>
      </c>
      <c r="K29" s="164" t="s">
        <v>116</v>
      </c>
      <c r="L29" s="164">
        <f ca="1">SUM(L13:L28)</f>
        <v>25</v>
      </c>
      <c r="M29" s="164" t="s">
        <v>116</v>
      </c>
      <c r="N29" s="164">
        <f>SUM(N13:N28)</f>
        <v>38</v>
      </c>
      <c r="O29" s="164" t="s">
        <v>117</v>
      </c>
      <c r="P29" s="166">
        <f ca="1">SUM(P13:P28)</f>
        <v>98</v>
      </c>
      <c r="S29" s="120">
        <v>70</v>
      </c>
    </row>
    <row r="30" spans="1:19" x14ac:dyDescent="0.25">
      <c r="A30" s="167"/>
      <c r="B30" s="167"/>
      <c r="C30" s="168"/>
      <c r="D30" s="168"/>
      <c r="S30" s="120">
        <v>-5</v>
      </c>
    </row>
    <row r="31" spans="1:19" x14ac:dyDescent="0.25">
      <c r="A31" s="167"/>
      <c r="B31" s="167"/>
      <c r="C31" s="168"/>
      <c r="D31" s="168"/>
      <c r="S31" s="120">
        <v>1</v>
      </c>
    </row>
    <row r="32" spans="1:19" x14ac:dyDescent="0.25">
      <c r="A32" s="167"/>
      <c r="B32" s="167"/>
      <c r="C32" s="168"/>
      <c r="D32" s="168"/>
      <c r="P32" s="126">
        <f ca="1">I29+P29</f>
        <v>201</v>
      </c>
    </row>
    <row r="33" spans="1:4" x14ac:dyDescent="0.25">
      <c r="A33" s="167"/>
      <c r="B33" s="167"/>
      <c r="C33" s="168"/>
      <c r="D33" s="168"/>
    </row>
    <row r="34" spans="1:4" x14ac:dyDescent="0.25">
      <c r="A34" s="167"/>
      <c r="B34" s="167"/>
      <c r="C34" s="168"/>
      <c r="D34" s="168"/>
    </row>
    <row r="35" spans="1:4" x14ac:dyDescent="0.25">
      <c r="A35" s="167"/>
      <c r="B35" s="167"/>
      <c r="C35" s="168"/>
      <c r="D35" s="168"/>
    </row>
  </sheetData>
  <mergeCells count="27">
    <mergeCell ref="A33:B33"/>
    <mergeCell ref="A34:B34"/>
    <mergeCell ref="A35:B35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B11:D11"/>
    <mergeCell ref="A12:B12"/>
    <mergeCell ref="C12:I12"/>
    <mergeCell ref="J12:P12"/>
    <mergeCell ref="A13:B13"/>
    <mergeCell ref="A14:B14"/>
  </mergeCells>
  <pageMargins left="0.7" right="0.7" top="0.75" bottom="0.75" header="0.3" footer="0.3"/>
  <pageSetup paperSize="149" scale="9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345F7-B76B-4BAA-9867-A0B4496B98FE}">
  <sheetPr>
    <pageSetUpPr fitToPage="1"/>
  </sheetPr>
  <dimension ref="A1:AA31"/>
  <sheetViews>
    <sheetView view="pageBreakPreview" topLeftCell="E10" zoomScaleNormal="90" zoomScaleSheetLayoutView="100" workbookViewId="0">
      <selection activeCell="M15" sqref="M15"/>
    </sheetView>
  </sheetViews>
  <sheetFormatPr defaultColWidth="7.77734375" defaultRowHeight="15" x14ac:dyDescent="0.3"/>
  <cols>
    <col min="1" max="1" width="6.6640625" style="49" customWidth="1"/>
    <col min="2" max="2" width="5.88671875" style="49" customWidth="1"/>
    <col min="3" max="3" width="13.21875" style="49" customWidth="1"/>
    <col min="4" max="4" width="23.33203125" style="49" customWidth="1"/>
    <col min="5" max="5" width="4.88671875" style="49" customWidth="1"/>
    <col min="6" max="6" width="7.109375" style="49" bestFit="1" customWidth="1"/>
    <col min="7" max="7" width="5.21875" style="49" customWidth="1"/>
    <col min="8" max="8" width="6" style="49" customWidth="1"/>
    <col min="9" max="9" width="6.109375" style="49" customWidth="1"/>
    <col min="10" max="10" width="6" style="49" customWidth="1"/>
    <col min="11" max="11" width="6.77734375" style="49" customWidth="1"/>
    <col min="12" max="12" width="6.21875" style="49" customWidth="1"/>
    <col min="13" max="13" width="4.77734375" style="49" customWidth="1"/>
    <col min="14" max="14" width="7.88671875" style="49" customWidth="1"/>
    <col min="15" max="15" width="6.21875" style="49" customWidth="1"/>
    <col min="16" max="17" width="5.88671875" style="49" customWidth="1"/>
    <col min="18" max="18" width="4.6640625" style="49" customWidth="1"/>
    <col min="19" max="19" width="5.44140625" style="49" customWidth="1"/>
    <col min="20" max="20" width="3.6640625" style="49" customWidth="1"/>
    <col min="21" max="21" width="5.33203125" style="49" customWidth="1"/>
    <col min="22" max="22" width="6.77734375" style="49" customWidth="1"/>
    <col min="23" max="23" width="5" style="49" customWidth="1"/>
    <col min="24" max="24" width="4.21875" style="49" customWidth="1"/>
    <col min="25" max="25" width="3.77734375" style="49" customWidth="1"/>
    <col min="26" max="26" width="4.33203125" style="49" customWidth="1"/>
    <col min="27" max="27" width="7.77734375" style="49" customWidth="1"/>
    <col min="28" max="16384" width="7.77734375" style="49"/>
  </cols>
  <sheetData>
    <row r="1" spans="1:27" ht="23.25" x14ac:dyDescent="0.35">
      <c r="A1" s="48" t="s">
        <v>51</v>
      </c>
    </row>
    <row r="3" spans="1:27" ht="18.75" x14ac:dyDescent="0.3">
      <c r="A3" s="50" t="s">
        <v>52</v>
      </c>
      <c r="B3" s="50"/>
      <c r="C3" s="51" t="s">
        <v>53</v>
      </c>
      <c r="D3" s="52"/>
    </row>
    <row r="4" spans="1:27" ht="18.75" x14ac:dyDescent="0.3">
      <c r="A4" s="50" t="s">
        <v>54</v>
      </c>
      <c r="B4" s="50"/>
      <c r="C4" s="53" t="s">
        <v>55</v>
      </c>
      <c r="D4" s="54"/>
    </row>
    <row r="5" spans="1:27" ht="18.75" x14ac:dyDescent="0.3">
      <c r="A5" s="50" t="s">
        <v>56</v>
      </c>
      <c r="B5" s="50"/>
      <c r="C5" s="55" t="s">
        <v>57</v>
      </c>
      <c r="D5" s="52"/>
    </row>
    <row r="6" spans="1:27" ht="18.75" x14ac:dyDescent="0.3">
      <c r="A6" s="50" t="s">
        <v>58</v>
      </c>
      <c r="B6" s="50"/>
      <c r="C6" s="53" t="s">
        <v>42</v>
      </c>
      <c r="D6" s="54"/>
    </row>
    <row r="7" spans="1:27" ht="18.75" x14ac:dyDescent="0.3">
      <c r="A7" s="50" t="s">
        <v>59</v>
      </c>
      <c r="B7" s="50"/>
      <c r="C7" s="53" t="s">
        <v>60</v>
      </c>
      <c r="D7" s="54"/>
    </row>
    <row r="8" spans="1:27" ht="18.75" x14ac:dyDescent="0.3">
      <c r="A8" s="50" t="s">
        <v>61</v>
      </c>
      <c r="B8" s="50"/>
      <c r="C8" s="53" t="s">
        <v>62</v>
      </c>
      <c r="D8" s="54"/>
    </row>
    <row r="10" spans="1:27" ht="22.5" customHeight="1" x14ac:dyDescent="0.2">
      <c r="A10" s="56" t="s">
        <v>40</v>
      </c>
      <c r="B10" s="57" t="s">
        <v>63</v>
      </c>
      <c r="C10" s="58"/>
      <c r="D10" s="56" t="s">
        <v>64</v>
      </c>
      <c r="E10" s="59" t="s">
        <v>65</v>
      </c>
      <c r="F10" s="59"/>
      <c r="G10" s="59"/>
      <c r="H10" s="59"/>
      <c r="I10" s="59"/>
      <c r="J10" s="59"/>
      <c r="K10" s="59"/>
      <c r="L10" s="59"/>
      <c r="M10" s="60" t="s">
        <v>66</v>
      </c>
      <c r="N10" s="60" t="s">
        <v>66</v>
      </c>
      <c r="O10" s="61" t="s">
        <v>67</v>
      </c>
      <c r="P10" s="62"/>
      <c r="Q10" s="62"/>
      <c r="R10" s="62"/>
      <c r="S10" s="62"/>
      <c r="T10" s="62"/>
      <c r="U10" s="62"/>
      <c r="V10" s="63"/>
      <c r="W10" s="61" t="s">
        <v>68</v>
      </c>
      <c r="X10" s="62"/>
      <c r="Y10" s="62"/>
      <c r="Z10" s="62"/>
      <c r="AA10" s="63"/>
    </row>
    <row r="11" spans="1:27" ht="15" customHeight="1" x14ac:dyDescent="0.2">
      <c r="A11" s="64"/>
      <c r="B11" s="65"/>
      <c r="C11" s="66"/>
      <c r="D11" s="64"/>
      <c r="E11" s="67" t="s">
        <v>69</v>
      </c>
      <c r="F11" s="67" t="s">
        <v>70</v>
      </c>
      <c r="G11" s="67" t="s">
        <v>66</v>
      </c>
      <c r="H11" s="60" t="s">
        <v>71</v>
      </c>
      <c r="I11" s="60" t="s">
        <v>72</v>
      </c>
      <c r="J11" s="60" t="s">
        <v>73</v>
      </c>
      <c r="K11" s="60" t="s">
        <v>74</v>
      </c>
      <c r="L11" s="60" t="s">
        <v>75</v>
      </c>
      <c r="M11" s="68" t="s">
        <v>76</v>
      </c>
      <c r="N11" s="69" t="s">
        <v>77</v>
      </c>
      <c r="O11" s="60" t="s">
        <v>78</v>
      </c>
      <c r="P11" s="60" t="s">
        <v>79</v>
      </c>
      <c r="Q11" s="60" t="s">
        <v>80</v>
      </c>
      <c r="R11" s="60" t="s">
        <v>81</v>
      </c>
      <c r="S11" s="67" t="s">
        <v>82</v>
      </c>
      <c r="T11" s="67" t="s">
        <v>83</v>
      </c>
      <c r="U11" s="67" t="s">
        <v>84</v>
      </c>
      <c r="V11" s="60" t="s">
        <v>66</v>
      </c>
      <c r="W11" s="67" t="s">
        <v>85</v>
      </c>
      <c r="X11" s="67" t="s">
        <v>86</v>
      </c>
      <c r="Y11" s="67" t="s">
        <v>87</v>
      </c>
      <c r="Z11" s="67" t="s">
        <v>88</v>
      </c>
      <c r="AA11" s="60" t="s">
        <v>89</v>
      </c>
    </row>
    <row r="12" spans="1:27" ht="15" customHeight="1" x14ac:dyDescent="0.3">
      <c r="A12" s="70"/>
      <c r="B12" s="71"/>
      <c r="C12" s="72"/>
      <c r="D12" s="70"/>
      <c r="E12" s="73"/>
      <c r="F12" s="73"/>
      <c r="G12" s="73"/>
      <c r="H12" s="74" t="s">
        <v>90</v>
      </c>
      <c r="I12" s="74" t="s">
        <v>91</v>
      </c>
      <c r="J12" s="74" t="s">
        <v>92</v>
      </c>
      <c r="K12" s="74" t="s">
        <v>93</v>
      </c>
      <c r="L12" s="74" t="s">
        <v>94</v>
      </c>
      <c r="M12" s="75"/>
      <c r="N12" s="76" t="s">
        <v>95</v>
      </c>
      <c r="O12" s="76" t="s">
        <v>96</v>
      </c>
      <c r="P12" s="76" t="s">
        <v>97</v>
      </c>
      <c r="Q12" s="76" t="s">
        <v>98</v>
      </c>
      <c r="R12" s="76" t="s">
        <v>99</v>
      </c>
      <c r="S12" s="77"/>
      <c r="T12" s="77"/>
      <c r="U12" s="77"/>
      <c r="V12" s="76" t="s">
        <v>100</v>
      </c>
      <c r="W12" s="77"/>
      <c r="X12" s="77"/>
      <c r="Y12" s="77"/>
      <c r="Z12" s="77"/>
      <c r="AA12" s="76" t="s">
        <v>100</v>
      </c>
    </row>
    <row r="13" spans="1:27" s="82" customFormat="1" ht="15" customHeight="1" x14ac:dyDescent="0.3">
      <c r="A13" s="78">
        <v>1</v>
      </c>
      <c r="B13" s="79">
        <v>2</v>
      </c>
      <c r="C13" s="80"/>
      <c r="D13" s="78">
        <v>3</v>
      </c>
      <c r="E13" s="79">
        <v>4</v>
      </c>
      <c r="F13" s="81"/>
      <c r="G13" s="81"/>
      <c r="H13" s="81"/>
      <c r="I13" s="81"/>
      <c r="J13" s="81"/>
      <c r="K13" s="81"/>
      <c r="L13" s="80"/>
      <c r="M13" s="78">
        <v>5</v>
      </c>
      <c r="N13" s="78">
        <v>6</v>
      </c>
      <c r="O13" s="79">
        <v>7</v>
      </c>
      <c r="P13" s="81"/>
      <c r="Q13" s="81"/>
      <c r="R13" s="81"/>
      <c r="S13" s="81"/>
      <c r="T13" s="81"/>
      <c r="U13" s="81"/>
      <c r="V13" s="80"/>
      <c r="W13" s="79">
        <v>8</v>
      </c>
      <c r="X13" s="81"/>
      <c r="Y13" s="81"/>
      <c r="Z13" s="81"/>
      <c r="AA13" s="80"/>
    </row>
    <row r="14" spans="1:27" ht="30" customHeight="1" x14ac:dyDescent="0.3">
      <c r="A14" s="83">
        <v>1</v>
      </c>
      <c r="B14" s="84">
        <v>21</v>
      </c>
      <c r="C14" s="85"/>
      <c r="D14" s="86">
        <f>29-1</f>
        <v>28</v>
      </c>
      <c r="E14" s="87">
        <v>38</v>
      </c>
      <c r="F14" s="88">
        <f>36-1</f>
        <v>35</v>
      </c>
      <c r="G14" s="89">
        <f>E14+F14</f>
        <v>73</v>
      </c>
      <c r="H14" s="87">
        <v>5</v>
      </c>
      <c r="I14" s="87">
        <v>8</v>
      </c>
      <c r="J14" s="87">
        <v>9</v>
      </c>
      <c r="K14" s="87">
        <v>40</v>
      </c>
      <c r="L14" s="87">
        <f>12-1</f>
        <v>11</v>
      </c>
      <c r="M14" s="89">
        <v>28</v>
      </c>
      <c r="N14" s="87">
        <v>7</v>
      </c>
      <c r="O14" s="89">
        <v>0</v>
      </c>
      <c r="P14" s="89">
        <v>1</v>
      </c>
      <c r="Q14" s="89">
        <v>2</v>
      </c>
      <c r="R14" s="89">
        <v>1</v>
      </c>
      <c r="S14" s="89">
        <v>0</v>
      </c>
      <c r="T14" s="89">
        <v>1</v>
      </c>
      <c r="U14" s="89">
        <v>0</v>
      </c>
      <c r="V14" s="89">
        <v>5</v>
      </c>
      <c r="W14" s="89">
        <v>1</v>
      </c>
      <c r="X14" s="89">
        <v>0</v>
      </c>
      <c r="Y14" s="89">
        <v>1</v>
      </c>
      <c r="Z14" s="89">
        <v>0</v>
      </c>
      <c r="AA14" s="89">
        <v>2</v>
      </c>
    </row>
    <row r="15" spans="1:27" ht="30" customHeight="1" x14ac:dyDescent="0.3">
      <c r="A15" s="83"/>
      <c r="B15" s="90"/>
      <c r="C15" s="91"/>
      <c r="D15" s="92"/>
      <c r="E15" s="87"/>
      <c r="F15" s="88"/>
      <c r="G15" s="89"/>
      <c r="H15" s="87"/>
      <c r="I15" s="87"/>
      <c r="J15" s="87"/>
      <c r="K15" s="87"/>
      <c r="L15" s="87"/>
      <c r="M15" s="89"/>
      <c r="N15" s="87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</row>
    <row r="16" spans="1:27" ht="30" customHeight="1" x14ac:dyDescent="0.3">
      <c r="A16" s="93">
        <v>2</v>
      </c>
      <c r="B16" s="94">
        <f>'[1]Kuantitas Nurul'!B39</f>
        <v>15</v>
      </c>
      <c r="C16" s="95"/>
      <c r="D16" s="87">
        <f>'[1]Kuantitas Nurul'!E39</f>
        <v>22</v>
      </c>
      <c r="E16" s="87">
        <f>'[1]Kuantitas Nurul'!F39</f>
        <v>37</v>
      </c>
      <c r="F16" s="87">
        <f>'[1]Kuantitas Nurul'!G39</f>
        <v>25</v>
      </c>
      <c r="G16" s="87">
        <f>'[1]Kuantitas Nurul'!H39</f>
        <v>62</v>
      </c>
      <c r="H16" s="87">
        <f ca="1">'[1]Kuantitas Nurul'!I39</f>
        <v>0</v>
      </c>
      <c r="I16" s="87">
        <f ca="1">'[1]Kuantitas Nurul'!J39</f>
        <v>6</v>
      </c>
      <c r="J16" s="87">
        <f ca="1">'[1]Kuantitas Nurul'!K39</f>
        <v>18</v>
      </c>
      <c r="K16" s="87">
        <f ca="1">'[1]Kuantitas Nurul'!L39</f>
        <v>29</v>
      </c>
      <c r="L16" s="87">
        <f ca="1">'[1]Kuantitas Nurul'!M39</f>
        <v>9</v>
      </c>
      <c r="M16" s="87">
        <f>'[1]Kuantitas Nurul'!N39</f>
        <v>22</v>
      </c>
      <c r="N16" s="87">
        <f ca="1">'[1]Kuantitas Nurul'!O39</f>
        <v>8</v>
      </c>
      <c r="O16" s="87">
        <f>'[1]Kuantitas Nurul'!P39</f>
        <v>1</v>
      </c>
      <c r="P16" s="87">
        <f>'[1]Kuantitas Nurul'!Q39</f>
        <v>0</v>
      </c>
      <c r="Q16" s="87">
        <f>'[1]Kuantitas Nurul'!R39</f>
        <v>1</v>
      </c>
      <c r="R16" s="87">
        <f>'[1]Kuantitas Nurul'!S39</f>
        <v>2</v>
      </c>
      <c r="S16" s="87">
        <f>'[1]Kuantitas Nurul'!T39</f>
        <v>1</v>
      </c>
      <c r="T16" s="87">
        <f>'[1]Kuantitas Nurul'!U39</f>
        <v>0</v>
      </c>
      <c r="U16" s="87">
        <f>'[1]Kuantitas Nurul'!V39</f>
        <v>1</v>
      </c>
      <c r="V16" s="89">
        <f>SUM(O16:U16)</f>
        <v>6</v>
      </c>
      <c r="W16" s="87">
        <f>'[1]Kuantitas Nurul'!X39</f>
        <v>0</v>
      </c>
      <c r="X16" s="87">
        <f>'[1]Kuantitas Nurul'!Y39</f>
        <v>0</v>
      </c>
      <c r="Y16" s="87">
        <f>'[1]Kuantitas Nurul'!Z39</f>
        <v>2</v>
      </c>
      <c r="Z16" s="87">
        <f>'[1]Kuantitas Nurul'!AA39</f>
        <v>0</v>
      </c>
      <c r="AA16" s="89">
        <f>SUM(W16:Z16)</f>
        <v>2</v>
      </c>
    </row>
    <row r="17" spans="1:27" ht="30" customHeight="1" x14ac:dyDescent="0.25">
      <c r="A17" s="83"/>
      <c r="B17" s="96"/>
      <c r="C17" s="97"/>
      <c r="D17" s="98"/>
      <c r="E17" s="87"/>
      <c r="F17" s="88"/>
      <c r="G17" s="89"/>
      <c r="H17" s="87"/>
      <c r="I17" s="87"/>
      <c r="J17" s="87"/>
      <c r="K17" s="87"/>
      <c r="L17" s="87"/>
      <c r="M17" s="89"/>
      <c r="N17" s="87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</row>
    <row r="18" spans="1:27" ht="30" customHeight="1" x14ac:dyDescent="0.3">
      <c r="A18" s="93">
        <v>3</v>
      </c>
      <c r="B18" s="94">
        <v>18</v>
      </c>
      <c r="C18" s="95"/>
      <c r="D18" s="87">
        <v>23</v>
      </c>
      <c r="E18" s="87">
        <v>28</v>
      </c>
      <c r="F18" s="88">
        <v>38</v>
      </c>
      <c r="G18" s="89">
        <v>66</v>
      </c>
      <c r="H18" s="87">
        <v>2</v>
      </c>
      <c r="I18" s="87">
        <v>4</v>
      </c>
      <c r="J18" s="87">
        <v>16</v>
      </c>
      <c r="K18" s="87">
        <v>31</v>
      </c>
      <c r="L18" s="87">
        <v>13</v>
      </c>
      <c r="M18" s="89">
        <v>23</v>
      </c>
      <c r="N18" s="87">
        <v>5</v>
      </c>
      <c r="O18" s="89">
        <v>1</v>
      </c>
      <c r="P18" s="89">
        <v>0</v>
      </c>
      <c r="Q18" s="89">
        <v>1</v>
      </c>
      <c r="R18" s="89">
        <v>0</v>
      </c>
      <c r="S18" s="89">
        <v>0</v>
      </c>
      <c r="T18" s="89">
        <v>0</v>
      </c>
      <c r="U18" s="89">
        <v>0</v>
      </c>
      <c r="V18" s="89">
        <v>2</v>
      </c>
      <c r="W18" s="89">
        <v>1</v>
      </c>
      <c r="X18" s="89">
        <v>0</v>
      </c>
      <c r="Y18" s="89">
        <v>2</v>
      </c>
      <c r="Z18" s="89">
        <v>0</v>
      </c>
      <c r="AA18" s="89">
        <v>3</v>
      </c>
    </row>
    <row r="19" spans="1:27" ht="30" customHeight="1" x14ac:dyDescent="0.3">
      <c r="A19" s="83"/>
      <c r="B19" s="99"/>
      <c r="C19" s="100"/>
      <c r="D19" s="101"/>
      <c r="E19" s="87"/>
      <c r="F19" s="88"/>
      <c r="G19" s="89"/>
      <c r="H19" s="87"/>
      <c r="I19" s="87"/>
      <c r="J19" s="87"/>
      <c r="K19" s="87"/>
      <c r="L19" s="87"/>
      <c r="M19" s="89"/>
      <c r="N19" s="87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</row>
    <row r="20" spans="1:27" ht="30" customHeight="1" x14ac:dyDescent="0.25">
      <c r="A20" s="102"/>
      <c r="B20" s="103"/>
      <c r="C20" s="104"/>
      <c r="D20" s="105"/>
      <c r="E20" s="87"/>
      <c r="F20" s="88"/>
      <c r="G20" s="89"/>
      <c r="H20" s="87"/>
      <c r="I20" s="87"/>
      <c r="J20" s="87"/>
      <c r="K20" s="87"/>
      <c r="L20" s="87"/>
      <c r="M20" s="89"/>
      <c r="N20" s="87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</row>
    <row r="21" spans="1:27" ht="30" customHeight="1" x14ac:dyDescent="0.25">
      <c r="A21" s="102"/>
      <c r="B21" s="99"/>
      <c r="C21" s="100"/>
      <c r="D21" s="105"/>
      <c r="E21" s="87"/>
      <c r="F21" s="88"/>
      <c r="G21" s="89"/>
      <c r="H21" s="87"/>
      <c r="I21" s="87"/>
      <c r="J21" s="87"/>
      <c r="K21" s="87"/>
      <c r="L21" s="87"/>
      <c r="M21" s="89"/>
      <c r="N21" s="87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</row>
    <row r="22" spans="1:27" ht="30" customHeight="1" x14ac:dyDescent="0.25">
      <c r="A22" s="102"/>
      <c r="B22" s="106"/>
      <c r="C22" s="107"/>
      <c r="D22" s="108"/>
      <c r="E22" s="87"/>
      <c r="F22" s="88"/>
      <c r="G22" s="89"/>
      <c r="H22" s="87"/>
      <c r="I22" s="87"/>
      <c r="J22" s="87"/>
      <c r="K22" s="87"/>
      <c r="L22" s="87"/>
      <c r="M22" s="89"/>
      <c r="N22" s="87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</row>
    <row r="23" spans="1:27" ht="30" customHeight="1" x14ac:dyDescent="0.25">
      <c r="A23" s="102"/>
      <c r="B23" s="106"/>
      <c r="C23" s="109"/>
      <c r="D23" s="108"/>
      <c r="E23" s="87"/>
      <c r="F23" s="88"/>
      <c r="G23" s="89"/>
      <c r="H23" s="87"/>
      <c r="I23" s="87"/>
      <c r="J23" s="87"/>
      <c r="K23" s="87"/>
      <c r="L23" s="87"/>
      <c r="M23" s="89"/>
      <c r="N23" s="87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</row>
    <row r="24" spans="1:27" ht="30" customHeight="1" x14ac:dyDescent="0.25">
      <c r="A24" s="102"/>
      <c r="B24" s="106"/>
      <c r="C24" s="109"/>
      <c r="D24" s="108"/>
      <c r="E24" s="87"/>
      <c r="F24" s="88"/>
      <c r="G24" s="89"/>
      <c r="H24" s="87"/>
      <c r="I24" s="87"/>
      <c r="J24" s="87"/>
      <c r="K24" s="87"/>
      <c r="L24" s="87"/>
      <c r="M24" s="89"/>
      <c r="N24" s="87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</row>
    <row r="25" spans="1:27" ht="30" customHeight="1" x14ac:dyDescent="0.3">
      <c r="A25" s="102"/>
      <c r="B25" s="110"/>
      <c r="C25" s="111"/>
      <c r="D25" s="112"/>
      <c r="E25" s="87"/>
      <c r="F25" s="88"/>
      <c r="G25" s="89"/>
      <c r="H25" s="87"/>
      <c r="I25" s="87"/>
      <c r="J25" s="87"/>
      <c r="K25" s="87"/>
      <c r="L25" s="87"/>
      <c r="M25" s="89"/>
      <c r="N25" s="87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</row>
    <row r="26" spans="1:27" ht="30" customHeight="1" x14ac:dyDescent="0.3">
      <c r="A26" s="113" t="s">
        <v>66</v>
      </c>
      <c r="B26" s="114">
        <f>SUM(B14:C25)</f>
        <v>54</v>
      </c>
      <c r="C26" s="115"/>
      <c r="D26" s="116">
        <f>SUM(D14:D25)</f>
        <v>73</v>
      </c>
      <c r="E26" s="116">
        <f t="shared" ref="E26:AA26" si="0">SUM(E14:E25)</f>
        <v>103</v>
      </c>
      <c r="F26" s="116">
        <f t="shared" si="0"/>
        <v>98</v>
      </c>
      <c r="G26" s="116">
        <f t="shared" si="0"/>
        <v>201</v>
      </c>
      <c r="H26" s="116">
        <f t="shared" ca="1" si="0"/>
        <v>7</v>
      </c>
      <c r="I26" s="116">
        <f t="shared" ca="1" si="0"/>
        <v>18</v>
      </c>
      <c r="J26" s="116">
        <f t="shared" ca="1" si="0"/>
        <v>43</v>
      </c>
      <c r="K26" s="116">
        <f t="shared" ca="1" si="0"/>
        <v>100</v>
      </c>
      <c r="L26" s="116">
        <f t="shared" ca="1" si="0"/>
        <v>33</v>
      </c>
      <c r="M26" s="116">
        <f t="shared" si="0"/>
        <v>73</v>
      </c>
      <c r="N26" s="116">
        <f t="shared" ca="1" si="0"/>
        <v>20</v>
      </c>
      <c r="O26" s="116">
        <f t="shared" si="0"/>
        <v>2</v>
      </c>
      <c r="P26" s="116">
        <f t="shared" si="0"/>
        <v>1</v>
      </c>
      <c r="Q26" s="116">
        <f t="shared" si="0"/>
        <v>4</v>
      </c>
      <c r="R26" s="116">
        <f t="shared" si="0"/>
        <v>3</v>
      </c>
      <c r="S26" s="116">
        <f t="shared" si="0"/>
        <v>1</v>
      </c>
      <c r="T26" s="116">
        <f t="shared" si="0"/>
        <v>1</v>
      </c>
      <c r="U26" s="116">
        <f t="shared" si="0"/>
        <v>1</v>
      </c>
      <c r="V26" s="116">
        <f t="shared" si="0"/>
        <v>13</v>
      </c>
      <c r="W26" s="116">
        <f t="shared" si="0"/>
        <v>2</v>
      </c>
      <c r="X26" s="116">
        <f t="shared" si="0"/>
        <v>0</v>
      </c>
      <c r="Y26" s="116">
        <f t="shared" si="0"/>
        <v>5</v>
      </c>
      <c r="Z26" s="116">
        <f t="shared" si="0"/>
        <v>0</v>
      </c>
      <c r="AA26" s="116">
        <f t="shared" si="0"/>
        <v>7</v>
      </c>
    </row>
    <row r="28" spans="1:27" x14ac:dyDescent="0.3">
      <c r="A28" s="49" t="s">
        <v>101</v>
      </c>
    </row>
    <row r="29" spans="1:27" x14ac:dyDescent="0.3">
      <c r="A29" s="49" t="s">
        <v>102</v>
      </c>
    </row>
    <row r="30" spans="1:27" x14ac:dyDescent="0.3">
      <c r="A30" s="49" t="s">
        <v>103</v>
      </c>
    </row>
    <row r="31" spans="1:27" x14ac:dyDescent="0.3">
      <c r="A31" s="49" t="s">
        <v>104</v>
      </c>
    </row>
  </sheetData>
  <mergeCells count="40"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Z11:Z12"/>
    <mergeCell ref="B13:C13"/>
    <mergeCell ref="E13:L13"/>
    <mergeCell ref="O13:V13"/>
    <mergeCell ref="W13:AA13"/>
    <mergeCell ref="B14:C14"/>
    <mergeCell ref="S11:S12"/>
    <mergeCell ref="T11:T12"/>
    <mergeCell ref="U11:U12"/>
    <mergeCell ref="W11:W12"/>
    <mergeCell ref="X11:X12"/>
    <mergeCell ref="Y11:Y12"/>
    <mergeCell ref="A10:A12"/>
    <mergeCell ref="B10:C12"/>
    <mergeCell ref="D10:D12"/>
    <mergeCell ref="E10:L10"/>
    <mergeCell ref="O10:V10"/>
    <mergeCell ref="W10:AA10"/>
    <mergeCell ref="E11:E12"/>
    <mergeCell ref="F11:F12"/>
    <mergeCell ref="G11:G12"/>
    <mergeCell ref="M11:M12"/>
    <mergeCell ref="A3:B3"/>
    <mergeCell ref="A4:B4"/>
    <mergeCell ref="A5:B5"/>
    <mergeCell ref="A6:B6"/>
    <mergeCell ref="A7:B7"/>
    <mergeCell ref="A8:B8"/>
  </mergeCells>
  <pageMargins left="0.43307086614173229" right="0.23622047244094491" top="0.74803149606299213" bottom="0.74803149606299213" header="0.31496062992125984" footer="0.31496062992125984"/>
  <pageSetup paperSize="149" scale="7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6010-8E62-491D-A19A-1D51A0804CB9}">
  <sheetPr>
    <pageSetUpPr fitToPage="1"/>
  </sheetPr>
  <dimension ref="A1:AH40"/>
  <sheetViews>
    <sheetView topLeftCell="A4" zoomScale="70" zoomScaleNormal="70" workbookViewId="0">
      <selection activeCell="AF15" sqref="AF15"/>
    </sheetView>
  </sheetViews>
  <sheetFormatPr defaultColWidth="11.21875" defaultRowHeight="15" customHeight="1" x14ac:dyDescent="0.25"/>
  <cols>
    <col min="1" max="1" width="3.88671875" style="1" customWidth="1"/>
    <col min="2" max="2" width="10.44140625" style="1" customWidth="1"/>
    <col min="3" max="3" width="8.6640625" style="1" customWidth="1"/>
    <col min="4" max="4" width="7.6640625" style="1" customWidth="1"/>
    <col min="5" max="5" width="7.21875" style="1" customWidth="1"/>
    <col min="6" max="13" width="6.77734375" style="1" customWidth="1"/>
    <col min="14" max="15" width="8.88671875" style="1" customWidth="1"/>
    <col min="16" max="16" width="7.88671875" style="1" customWidth="1"/>
    <col min="17" max="17" width="7.6640625" style="1" customWidth="1"/>
    <col min="18" max="18" width="10.33203125" style="1" customWidth="1"/>
    <col min="19" max="19" width="10.44140625" style="1" customWidth="1"/>
    <col min="20" max="20" width="10.77734375" style="1" customWidth="1"/>
    <col min="21" max="21" width="14.44140625" style="1" customWidth="1"/>
    <col min="22" max="22" width="10.21875" style="1" customWidth="1"/>
    <col min="23" max="23" width="10.6640625" style="1" customWidth="1"/>
    <col min="24" max="24" width="10.88671875" style="1" customWidth="1"/>
    <col min="25" max="25" width="7.33203125" style="1" customWidth="1"/>
    <col min="26" max="26" width="7.6640625" style="1" customWidth="1"/>
    <col min="27" max="27" width="5.77734375" style="1" customWidth="1"/>
    <col min="28" max="28" width="7.6640625" style="1" customWidth="1"/>
    <col min="29" max="29" width="7.88671875" style="1" customWidth="1"/>
    <col min="30" max="30" width="5.77734375" style="1" customWidth="1"/>
    <col min="31" max="31" width="14" style="1" customWidth="1"/>
    <col min="32" max="32" width="9.44140625" style="1" customWidth="1"/>
    <col min="33" max="33" width="7.88671875" style="1" customWidth="1"/>
    <col min="34" max="34" width="6" style="1" customWidth="1"/>
    <col min="35" max="36" width="3.77734375" style="1" customWidth="1"/>
    <col min="37" max="16384" width="11.21875" style="1"/>
  </cols>
  <sheetData>
    <row r="1" spans="1:34" ht="22.5" customHeight="1" x14ac:dyDescent="0.25">
      <c r="A1" s="47" t="s">
        <v>50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</row>
    <row r="2" spans="1:34" ht="22.5" customHeight="1" x14ac:dyDescent="0.25">
      <c r="A2" s="47" t="s">
        <v>49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</row>
    <row r="3" spans="1:34" ht="22.5" customHeight="1" x14ac:dyDescent="0.25">
      <c r="A3" s="47" t="s">
        <v>48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</row>
    <row r="4" spans="1:34" ht="22.5" customHeight="1" x14ac:dyDescent="0.25">
      <c r="A4" s="46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</row>
    <row r="5" spans="1:34" ht="22.5" customHeight="1" x14ac:dyDescent="0.25">
      <c r="A5" s="39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9"/>
      <c r="S5" s="38" t="s">
        <v>47</v>
      </c>
      <c r="T5" s="38"/>
      <c r="U5" s="43" t="s">
        <v>46</v>
      </c>
      <c r="V5" s="44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 spans="1:34" ht="22.5" customHeight="1" x14ac:dyDescent="0.25">
      <c r="A6" s="39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9"/>
      <c r="S6" s="38" t="s">
        <v>45</v>
      </c>
      <c r="T6" s="38"/>
      <c r="U6" s="43" t="s">
        <v>44</v>
      </c>
      <c r="V6" s="42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 spans="1:34" ht="22.5" customHeight="1" x14ac:dyDescent="0.25">
      <c r="A7" s="39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9"/>
      <c r="S7" s="38" t="s">
        <v>43</v>
      </c>
      <c r="T7" s="38"/>
      <c r="U7" s="41" t="s">
        <v>42</v>
      </c>
      <c r="V7" s="40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 spans="1:34" ht="22.5" customHeight="1" x14ac:dyDescent="0.25">
      <c r="A8" s="39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9"/>
      <c r="S8" s="38" t="s">
        <v>41</v>
      </c>
      <c r="T8" s="38"/>
      <c r="U8" s="37">
        <f>'[1]DATA DAWIS'!B6</f>
        <v>46143</v>
      </c>
      <c r="V8" s="37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 spans="1:34" ht="22.5" customHeight="1" thickBot="1" x14ac:dyDescent="0.3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spans="1:34" ht="22.5" customHeight="1" thickBot="1" x14ac:dyDescent="0.3">
      <c r="A10" s="34" t="s">
        <v>40</v>
      </c>
      <c r="B10" s="33" t="s">
        <v>39</v>
      </c>
      <c r="C10" s="33" t="s">
        <v>38</v>
      </c>
      <c r="D10" s="33" t="s">
        <v>37</v>
      </c>
      <c r="E10" s="32" t="s">
        <v>36</v>
      </c>
      <c r="F10" s="30" t="s">
        <v>35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8"/>
      <c r="S10" s="31" t="s">
        <v>34</v>
      </c>
      <c r="T10" s="29"/>
      <c r="U10" s="29"/>
      <c r="V10" s="29"/>
      <c r="W10" s="29"/>
      <c r="X10" s="28"/>
      <c r="Y10" s="30" t="s">
        <v>33</v>
      </c>
      <c r="Z10" s="29"/>
      <c r="AA10" s="28"/>
      <c r="AB10" s="30" t="s">
        <v>32</v>
      </c>
      <c r="AC10" s="28"/>
      <c r="AD10" s="30" t="s">
        <v>31</v>
      </c>
      <c r="AE10" s="29"/>
      <c r="AF10" s="29"/>
      <c r="AG10" s="28"/>
      <c r="AH10" s="27" t="s">
        <v>30</v>
      </c>
    </row>
    <row r="11" spans="1:34" ht="22.5" customHeight="1" x14ac:dyDescent="0.25">
      <c r="A11" s="22"/>
      <c r="B11" s="19"/>
      <c r="C11" s="19"/>
      <c r="D11" s="19"/>
      <c r="E11" s="19"/>
      <c r="F11" s="26" t="s">
        <v>29</v>
      </c>
      <c r="G11" s="25"/>
      <c r="H11" s="26" t="s">
        <v>28</v>
      </c>
      <c r="I11" s="25"/>
      <c r="J11" s="24" t="s">
        <v>27</v>
      </c>
      <c r="K11" s="24" t="s">
        <v>26</v>
      </c>
      <c r="L11" s="24" t="s">
        <v>25</v>
      </c>
      <c r="M11" s="23" t="s">
        <v>24</v>
      </c>
      <c r="N11" s="23" t="s">
        <v>23</v>
      </c>
      <c r="O11" s="23" t="s">
        <v>22</v>
      </c>
      <c r="P11" s="24" t="s">
        <v>21</v>
      </c>
      <c r="Q11" s="24" t="s">
        <v>20</v>
      </c>
      <c r="R11" s="23" t="s">
        <v>19</v>
      </c>
      <c r="S11" s="23" t="s">
        <v>18</v>
      </c>
      <c r="T11" s="23" t="s">
        <v>17</v>
      </c>
      <c r="U11" s="23" t="s">
        <v>16</v>
      </c>
      <c r="V11" s="23" t="s">
        <v>15</v>
      </c>
      <c r="W11" s="23" t="s">
        <v>14</v>
      </c>
      <c r="X11" s="23" t="s">
        <v>13</v>
      </c>
      <c r="Y11" s="23" t="s">
        <v>12</v>
      </c>
      <c r="Z11" s="23" t="s">
        <v>11</v>
      </c>
      <c r="AA11" s="23" t="s">
        <v>10</v>
      </c>
      <c r="AB11" s="23" t="s">
        <v>9</v>
      </c>
      <c r="AC11" s="23" t="s">
        <v>8</v>
      </c>
      <c r="AD11" s="23" t="s">
        <v>7</v>
      </c>
      <c r="AE11" s="23" t="s">
        <v>6</v>
      </c>
      <c r="AF11" s="23" t="s">
        <v>5</v>
      </c>
      <c r="AG11" s="23" t="s">
        <v>4</v>
      </c>
      <c r="AH11" s="18"/>
    </row>
    <row r="12" spans="1:34" ht="22.5" customHeight="1" thickBot="1" x14ac:dyDescent="0.3">
      <c r="A12" s="22"/>
      <c r="B12" s="19"/>
      <c r="C12" s="19"/>
      <c r="D12" s="19"/>
      <c r="E12" s="19"/>
      <c r="F12" s="21"/>
      <c r="G12" s="20"/>
      <c r="H12" s="21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8"/>
    </row>
    <row r="13" spans="1:34" ht="22.5" customHeight="1" thickBot="1" x14ac:dyDescent="0.3">
      <c r="A13" s="17"/>
      <c r="B13" s="15"/>
      <c r="C13" s="15"/>
      <c r="D13" s="15"/>
      <c r="E13" s="15"/>
      <c r="F13" s="16" t="s">
        <v>3</v>
      </c>
      <c r="G13" s="16" t="s">
        <v>2</v>
      </c>
      <c r="H13" s="16" t="s">
        <v>3</v>
      </c>
      <c r="I13" s="16" t="s">
        <v>2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4"/>
    </row>
    <row r="14" spans="1:34" ht="33" customHeight="1" thickBot="1" x14ac:dyDescent="0.3">
      <c r="A14" s="9">
        <v>1</v>
      </c>
      <c r="B14" s="11" t="s">
        <v>1</v>
      </c>
      <c r="C14" s="10">
        <v>1</v>
      </c>
      <c r="D14" s="10">
        <v>21</v>
      </c>
      <c r="E14" s="7">
        <f>29-1</f>
        <v>28</v>
      </c>
      <c r="F14" s="7">
        <v>38</v>
      </c>
      <c r="G14" s="7">
        <f>36-1</f>
        <v>35</v>
      </c>
      <c r="H14" s="7">
        <v>4</v>
      </c>
      <c r="I14" s="7">
        <v>1</v>
      </c>
      <c r="J14" s="7">
        <v>9</v>
      </c>
      <c r="K14" s="7">
        <v>6</v>
      </c>
      <c r="L14" s="7">
        <v>13</v>
      </c>
      <c r="M14" s="7">
        <v>0</v>
      </c>
      <c r="N14" s="7">
        <v>0</v>
      </c>
      <c r="O14" s="7">
        <v>11</v>
      </c>
      <c r="P14" s="7">
        <f>12-1</f>
        <v>11</v>
      </c>
      <c r="Q14" s="7">
        <v>0</v>
      </c>
      <c r="R14" s="7">
        <v>0</v>
      </c>
      <c r="S14" s="7">
        <v>21</v>
      </c>
      <c r="T14" s="7">
        <v>0</v>
      </c>
      <c r="U14" s="7">
        <v>21</v>
      </c>
      <c r="V14" s="7">
        <v>15</v>
      </c>
      <c r="W14" s="7">
        <v>21</v>
      </c>
      <c r="X14" s="7">
        <v>0</v>
      </c>
      <c r="Y14" s="7">
        <v>17</v>
      </c>
      <c r="Z14" s="7">
        <v>4</v>
      </c>
      <c r="AA14" s="7">
        <v>0</v>
      </c>
      <c r="AB14" s="7">
        <v>21</v>
      </c>
      <c r="AC14" s="7">
        <v>0</v>
      </c>
      <c r="AD14" s="7">
        <v>0</v>
      </c>
      <c r="AE14" s="7">
        <v>0</v>
      </c>
      <c r="AF14" s="7">
        <v>1</v>
      </c>
      <c r="AG14" s="7">
        <v>21</v>
      </c>
      <c r="AH14" s="6">
        <v>0</v>
      </c>
    </row>
    <row r="15" spans="1:34" ht="15" customHeight="1" thickBot="1" x14ac:dyDescent="0.3">
      <c r="A15" s="13"/>
      <c r="AH15" s="12"/>
    </row>
    <row r="16" spans="1:34" ht="33" customHeight="1" thickBot="1" x14ac:dyDescent="0.3">
      <c r="A16" s="9">
        <f>A14+1</f>
        <v>2</v>
      </c>
      <c r="B16" s="11" t="s">
        <v>1</v>
      </c>
      <c r="C16" s="10">
        <v>1</v>
      </c>
      <c r="D16" s="10">
        <v>15</v>
      </c>
      <c r="E16" s="7">
        <v>22</v>
      </c>
      <c r="F16" s="7">
        <v>37</v>
      </c>
      <c r="G16" s="7">
        <v>25</v>
      </c>
      <c r="H16" s="7">
        <v>0</v>
      </c>
      <c r="I16" s="7">
        <v>0</v>
      </c>
      <c r="J16" s="7">
        <v>18</v>
      </c>
      <c r="K16" s="7">
        <v>8</v>
      </c>
      <c r="L16" s="7">
        <v>12</v>
      </c>
      <c r="M16" s="7">
        <v>0</v>
      </c>
      <c r="N16" s="7">
        <v>0</v>
      </c>
      <c r="O16" s="7">
        <v>17</v>
      </c>
      <c r="P16" s="7">
        <v>9</v>
      </c>
      <c r="Q16" s="7">
        <v>0</v>
      </c>
      <c r="R16" s="7">
        <v>0</v>
      </c>
      <c r="S16" s="7">
        <v>15</v>
      </c>
      <c r="T16" s="7">
        <v>0</v>
      </c>
      <c r="U16" s="7">
        <v>15</v>
      </c>
      <c r="V16" s="7">
        <v>15</v>
      </c>
      <c r="W16" s="7">
        <v>15</v>
      </c>
      <c r="X16" s="7">
        <v>0</v>
      </c>
      <c r="Y16" s="7">
        <v>15</v>
      </c>
      <c r="Z16" s="7">
        <v>0</v>
      </c>
      <c r="AA16" s="7">
        <v>0</v>
      </c>
      <c r="AB16" s="7">
        <v>15</v>
      </c>
      <c r="AC16" s="7">
        <v>0</v>
      </c>
      <c r="AD16" s="7">
        <v>0</v>
      </c>
      <c r="AE16" s="7">
        <v>0</v>
      </c>
      <c r="AF16" s="7">
        <v>0</v>
      </c>
      <c r="AG16" s="7">
        <v>15</v>
      </c>
      <c r="AH16" s="7">
        <v>0</v>
      </c>
    </row>
    <row r="17" spans="1:34" ht="15" customHeight="1" thickBot="1" x14ac:dyDescent="0.3">
      <c r="A17" s="13"/>
      <c r="AH17" s="12"/>
    </row>
    <row r="18" spans="1:34" ht="33" customHeight="1" thickBot="1" x14ac:dyDescent="0.3">
      <c r="A18" s="9">
        <f>A16+1</f>
        <v>3</v>
      </c>
      <c r="B18" s="11" t="s">
        <v>1</v>
      </c>
      <c r="C18" s="10">
        <v>1</v>
      </c>
      <c r="D18" s="10">
        <v>18</v>
      </c>
      <c r="E18" s="7">
        <v>23</v>
      </c>
      <c r="F18" s="7">
        <v>28</v>
      </c>
      <c r="G18" s="7">
        <v>38</v>
      </c>
      <c r="H18" s="7">
        <v>2</v>
      </c>
      <c r="I18" s="7">
        <v>0</v>
      </c>
      <c r="J18" s="7">
        <v>16</v>
      </c>
      <c r="K18" s="7">
        <v>5</v>
      </c>
      <c r="L18" s="7">
        <v>19</v>
      </c>
      <c r="M18" s="7">
        <v>0</v>
      </c>
      <c r="N18" s="7">
        <v>0</v>
      </c>
      <c r="O18" s="7">
        <v>13</v>
      </c>
      <c r="P18" s="7">
        <v>13</v>
      </c>
      <c r="Q18" s="7">
        <v>0</v>
      </c>
      <c r="R18" s="7">
        <v>0</v>
      </c>
      <c r="S18" s="7">
        <v>18</v>
      </c>
      <c r="T18" s="7">
        <v>0</v>
      </c>
      <c r="U18" s="7">
        <v>18</v>
      </c>
      <c r="V18" s="7">
        <v>7</v>
      </c>
      <c r="W18" s="7">
        <v>18</v>
      </c>
      <c r="X18" s="7">
        <v>0</v>
      </c>
      <c r="Y18" s="7">
        <v>18</v>
      </c>
      <c r="Z18" s="7">
        <v>0</v>
      </c>
      <c r="AA18" s="7">
        <v>0</v>
      </c>
      <c r="AB18" s="7">
        <v>18</v>
      </c>
      <c r="AC18" s="7">
        <v>0</v>
      </c>
      <c r="AD18" s="7">
        <v>0</v>
      </c>
      <c r="AE18" s="7">
        <v>0</v>
      </c>
      <c r="AF18" s="7">
        <v>1</v>
      </c>
      <c r="AG18" s="7">
        <v>19</v>
      </c>
      <c r="AH18" s="6">
        <v>0</v>
      </c>
    </row>
    <row r="19" spans="1:34" ht="33" customHeight="1" thickBot="1" x14ac:dyDescent="0.3">
      <c r="A19" s="9">
        <f>A18+1</f>
        <v>4</v>
      </c>
      <c r="B19" s="8"/>
      <c r="C19" s="8"/>
      <c r="D19" s="8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6"/>
    </row>
    <row r="20" spans="1:34" ht="33" customHeight="1" thickBot="1" x14ac:dyDescent="0.3">
      <c r="A20" s="9">
        <f>A19+1</f>
        <v>5</v>
      </c>
      <c r="B20" s="8"/>
      <c r="C20" s="8"/>
      <c r="D20" s="8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/>
    </row>
    <row r="21" spans="1:34" ht="33" customHeight="1" thickBot="1" x14ac:dyDescent="0.3">
      <c r="A21" s="9">
        <f>A20+1</f>
        <v>6</v>
      </c>
      <c r="B21" s="8"/>
      <c r="C21" s="8"/>
      <c r="D21" s="8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/>
    </row>
    <row r="22" spans="1:34" ht="33" customHeight="1" thickBot="1" x14ac:dyDescent="0.3">
      <c r="A22" s="9">
        <f>A21+1</f>
        <v>7</v>
      </c>
      <c r="B22" s="8"/>
      <c r="C22" s="8"/>
      <c r="D22" s="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/>
    </row>
    <row r="23" spans="1:34" ht="33" customHeight="1" thickBot="1" x14ac:dyDescent="0.3">
      <c r="A23" s="9">
        <f>A22+1</f>
        <v>8</v>
      </c>
      <c r="B23" s="8"/>
      <c r="C23" s="8"/>
      <c r="D23" s="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/>
    </row>
    <row r="24" spans="1:34" ht="33" customHeight="1" thickBot="1" x14ac:dyDescent="0.3">
      <c r="A24" s="9">
        <f>A23+1</f>
        <v>9</v>
      </c>
      <c r="B24" s="8"/>
      <c r="C24" s="8"/>
      <c r="D24" s="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/>
    </row>
    <row r="25" spans="1:34" ht="33" customHeight="1" thickBot="1" x14ac:dyDescent="0.3">
      <c r="A25" s="9">
        <f>A24+1</f>
        <v>10</v>
      </c>
      <c r="B25" s="8"/>
      <c r="C25" s="8"/>
      <c r="D25" s="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/>
    </row>
    <row r="26" spans="1:34" ht="33" customHeight="1" thickBot="1" x14ac:dyDescent="0.3">
      <c r="A26" s="9">
        <f>A25+1</f>
        <v>11</v>
      </c>
      <c r="B26" s="8"/>
      <c r="C26" s="8"/>
      <c r="D26" s="8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/>
    </row>
    <row r="27" spans="1:34" ht="33" customHeight="1" thickBot="1" x14ac:dyDescent="0.3">
      <c r="A27" s="9">
        <f>A26+1</f>
        <v>12</v>
      </c>
      <c r="B27" s="8"/>
      <c r="C27" s="8"/>
      <c r="D27" s="8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/>
    </row>
    <row r="28" spans="1:34" ht="33" customHeight="1" thickBot="1" x14ac:dyDescent="0.3">
      <c r="A28" s="9">
        <f>A27+1</f>
        <v>13</v>
      </c>
      <c r="B28" s="8"/>
      <c r="C28" s="8"/>
      <c r="D28" s="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/>
    </row>
    <row r="29" spans="1:34" ht="33" customHeight="1" thickBot="1" x14ac:dyDescent="0.3">
      <c r="A29" s="9">
        <f>A28+1</f>
        <v>14</v>
      </c>
      <c r="B29" s="8"/>
      <c r="C29" s="8"/>
      <c r="D29" s="8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/>
    </row>
    <row r="30" spans="1:34" ht="33" customHeight="1" thickBot="1" x14ac:dyDescent="0.3">
      <c r="A30" s="9">
        <f>A29+1</f>
        <v>15</v>
      </c>
      <c r="B30" s="8"/>
      <c r="C30" s="8"/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/>
    </row>
    <row r="31" spans="1:34" ht="33" customHeight="1" thickBot="1" x14ac:dyDescent="0.3">
      <c r="A31" s="9">
        <f>A30+1</f>
        <v>16</v>
      </c>
      <c r="B31" s="8"/>
      <c r="C31" s="8"/>
      <c r="D31" s="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/>
    </row>
    <row r="32" spans="1:34" ht="33" customHeight="1" thickBot="1" x14ac:dyDescent="0.3">
      <c r="A32" s="9">
        <f>A31+1</f>
        <v>17</v>
      </c>
      <c r="B32" s="8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/>
    </row>
    <row r="33" spans="1:34" ht="33" customHeight="1" thickBot="1" x14ac:dyDescent="0.3">
      <c r="A33" s="9">
        <f>A32+1</f>
        <v>18</v>
      </c>
      <c r="B33" s="8"/>
      <c r="C33" s="8"/>
      <c r="D33" s="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/>
    </row>
    <row r="34" spans="1:34" ht="33" customHeight="1" thickBot="1" x14ac:dyDescent="0.3">
      <c r="A34" s="9">
        <f>A33+1</f>
        <v>19</v>
      </c>
      <c r="B34" s="8"/>
      <c r="C34" s="8"/>
      <c r="D34" s="8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/>
    </row>
    <row r="35" spans="1:34" ht="33" customHeight="1" thickBot="1" x14ac:dyDescent="0.3">
      <c r="A35" s="9">
        <f>A34+1</f>
        <v>20</v>
      </c>
      <c r="B35" s="8"/>
      <c r="C35" s="8"/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/>
    </row>
    <row r="36" spans="1:34" ht="33" customHeight="1" thickBot="1" x14ac:dyDescent="0.3">
      <c r="A36" s="9">
        <f>A35+1</f>
        <v>21</v>
      </c>
      <c r="B36" s="8"/>
      <c r="C36" s="8"/>
      <c r="D36" s="8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6"/>
    </row>
    <row r="37" spans="1:34" ht="33" customHeight="1" thickBot="1" x14ac:dyDescent="0.3">
      <c r="A37" s="9">
        <f>A36+1</f>
        <v>22</v>
      </c>
      <c r="B37" s="8"/>
      <c r="C37" s="8"/>
      <c r="D37" s="8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6"/>
    </row>
    <row r="38" spans="1:34" ht="33" customHeight="1" thickBot="1" x14ac:dyDescent="0.3">
      <c r="A38" s="9">
        <f>A37+1</f>
        <v>23</v>
      </c>
      <c r="B38" s="8"/>
      <c r="C38" s="8"/>
      <c r="D38" s="8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/>
    </row>
    <row r="39" spans="1:34" ht="33" customHeight="1" thickBot="1" x14ac:dyDescent="0.3">
      <c r="A39" s="9">
        <f>A38+1</f>
        <v>24</v>
      </c>
      <c r="B39" s="8"/>
      <c r="C39" s="8"/>
      <c r="D39" s="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/>
    </row>
    <row r="40" spans="1:34" ht="33" customHeight="1" thickBot="1" x14ac:dyDescent="0.3">
      <c r="A40" s="5"/>
      <c r="B40" s="4" t="s">
        <v>0</v>
      </c>
      <c r="C40" s="3">
        <f>SUM(C14:C39)</f>
        <v>3</v>
      </c>
      <c r="D40" s="3">
        <f>SUM(D14:D39)</f>
        <v>54</v>
      </c>
      <c r="E40" s="3">
        <f>SUM(E14:E39)</f>
        <v>73</v>
      </c>
      <c r="F40" s="3">
        <f>SUM(F14:F39)</f>
        <v>103</v>
      </c>
      <c r="G40" s="3">
        <f>SUM(G14:G39)</f>
        <v>98</v>
      </c>
      <c r="H40" s="3">
        <f>SUM(H14:H39)</f>
        <v>6</v>
      </c>
      <c r="I40" s="3">
        <f>SUM(I14:I39)</f>
        <v>1</v>
      </c>
      <c r="J40" s="3">
        <f>SUM(J14:J39)</f>
        <v>43</v>
      </c>
      <c r="K40" s="3">
        <f>SUM(K14:K39)</f>
        <v>19</v>
      </c>
      <c r="L40" s="3">
        <f>SUM(L14:L39)</f>
        <v>44</v>
      </c>
      <c r="M40" s="3">
        <f>SUM(M14:M39)</f>
        <v>0</v>
      </c>
      <c r="N40" s="3">
        <f>SUM(N14:N39)</f>
        <v>0</v>
      </c>
      <c r="O40" s="3">
        <f>SUM(O14:O39)</f>
        <v>41</v>
      </c>
      <c r="P40" s="3">
        <f>SUM(P14:P39)</f>
        <v>33</v>
      </c>
      <c r="Q40" s="3">
        <f>SUM(Q14:Q39)</f>
        <v>0</v>
      </c>
      <c r="R40" s="3">
        <f>SUM(R14:R39)</f>
        <v>0</v>
      </c>
      <c r="S40" s="3">
        <f>SUM(S14:S39)</f>
        <v>54</v>
      </c>
      <c r="T40" s="3">
        <f>SUM(T14:T39)</f>
        <v>0</v>
      </c>
      <c r="U40" s="3">
        <f>SUM(U14:U39)</f>
        <v>54</v>
      </c>
      <c r="V40" s="3">
        <f>SUM(V14:V39)</f>
        <v>37</v>
      </c>
      <c r="W40" s="3">
        <f>SUM(W14:W39)</f>
        <v>54</v>
      </c>
      <c r="X40" s="3">
        <f>SUM(X14:X39)</f>
        <v>0</v>
      </c>
      <c r="Y40" s="3">
        <f>SUM(Y14:Y39)</f>
        <v>50</v>
      </c>
      <c r="Z40" s="3">
        <f>SUM(Z14:Z39)</f>
        <v>4</v>
      </c>
      <c r="AA40" s="3">
        <f>SUM(AA14:AA39)</f>
        <v>0</v>
      </c>
      <c r="AB40" s="3">
        <f>SUM(AB14:AB39)</f>
        <v>54</v>
      </c>
      <c r="AC40" s="3">
        <f>SUM(AC14:AC39)</f>
        <v>0</v>
      </c>
      <c r="AD40" s="3">
        <f>SUM(AD14:AD39)</f>
        <v>0</v>
      </c>
      <c r="AE40" s="3">
        <f>SUM(AE14:AE39)</f>
        <v>0</v>
      </c>
      <c r="AF40" s="3">
        <f>SUM(AF14:AF39)</f>
        <v>2</v>
      </c>
      <c r="AG40" s="3">
        <f>SUM(AG14:AG39)</f>
        <v>55</v>
      </c>
      <c r="AH40" s="2">
        <f>SUM(AH14:AH39)</f>
        <v>0</v>
      </c>
    </row>
  </sheetData>
  <mergeCells count="46">
    <mergeCell ref="F11:G12"/>
    <mergeCell ref="H11:I12"/>
    <mergeCell ref="J11:J13"/>
    <mergeCell ref="K11:K13"/>
    <mergeCell ref="X11:X13"/>
    <mergeCell ref="M11:M13"/>
    <mergeCell ref="N11:N13"/>
    <mergeCell ref="O11:O13"/>
    <mergeCell ref="Y11:Y13"/>
    <mergeCell ref="W11:W13"/>
    <mergeCell ref="AB10:AC10"/>
    <mergeCell ref="S10:X10"/>
    <mergeCell ref="Y10:AA10"/>
    <mergeCell ref="Z11:Z13"/>
    <mergeCell ref="S11:S13"/>
    <mergeCell ref="T11:T13"/>
    <mergeCell ref="U11:U13"/>
    <mergeCell ref="V11:V13"/>
    <mergeCell ref="AA11:AA13"/>
    <mergeCell ref="AB11:AB13"/>
    <mergeCell ref="AC11:AC13"/>
    <mergeCell ref="AD10:AG10"/>
    <mergeCell ref="AH10:AH13"/>
    <mergeCell ref="AD11:AD13"/>
    <mergeCell ref="AE11:AE13"/>
    <mergeCell ref="AF11:AF13"/>
    <mergeCell ref="AG11:AG13"/>
    <mergeCell ref="A10:A13"/>
    <mergeCell ref="B10:B13"/>
    <mergeCell ref="C10:C13"/>
    <mergeCell ref="P11:P13"/>
    <mergeCell ref="Q11:Q13"/>
    <mergeCell ref="R11:R13"/>
    <mergeCell ref="D10:D13"/>
    <mergeCell ref="E10:E13"/>
    <mergeCell ref="F10:R10"/>
    <mergeCell ref="L11:L13"/>
    <mergeCell ref="S8:T8"/>
    <mergeCell ref="S5:T5"/>
    <mergeCell ref="S6:T6"/>
    <mergeCell ref="S7:T7"/>
    <mergeCell ref="U8:V8"/>
    <mergeCell ref="A1:AH1"/>
    <mergeCell ref="A2:AH2"/>
    <mergeCell ref="A3:AH3"/>
    <mergeCell ref="A4:AH4"/>
  </mergeCells>
  <pageMargins left="0.35433070866141736" right="0.23622047244094491" top="0.35433070866141736" bottom="0.74803149606299213" header="0" footer="0"/>
  <pageSetup paperSize="14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SUMMARY - IBU HAMIL,MENYUSUI</vt:lpstr>
      <vt:lpstr>SUMMARY-POTENSI</vt:lpstr>
      <vt:lpstr>SUMMARY-PROFIL</vt:lpstr>
      <vt:lpstr>SUMMARY-KUANTITAS</vt:lpstr>
      <vt:lpstr>SUMMARY-REKAPITULASI</vt:lpstr>
      <vt:lpstr>'SUMMARY - IBU HAMIL,MENYUSUI'!Print_Area</vt:lpstr>
      <vt:lpstr>'SUMMARY-KUANTITAS'!Print_Area</vt:lpstr>
      <vt:lpstr>'SUMMARY-PROFIL'!Print_Area</vt:lpstr>
      <vt:lpstr>'SUMMARY-KUANTITAS'!Print_Titles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Haryanto</dc:creator>
  <cp:lastModifiedBy>Rio Haryanto</cp:lastModifiedBy>
  <dcterms:created xsi:type="dcterms:W3CDTF">2026-06-04T06:09:00Z</dcterms:created>
  <dcterms:modified xsi:type="dcterms:W3CDTF">2026-06-04T06:10:52Z</dcterms:modified>
</cp:coreProperties>
</file>